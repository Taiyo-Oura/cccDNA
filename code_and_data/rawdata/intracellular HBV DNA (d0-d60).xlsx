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watashikouichi/Desktop/2026.5 Hep-Tet細胞論文/Suppl Fig 定量データ/"/>
    </mc:Choice>
  </mc:AlternateContent>
  <xr:revisionPtr revIDLastSave="0" documentId="13_ncr:1_{2BE314EF-2C72-4642-8BD8-98651F34551B}" xr6:coauthVersionLast="47" xr6:coauthVersionMax="47" xr10:uidLastSave="{00000000-0000-0000-0000-000000000000}"/>
  <bookViews>
    <workbookView xWindow="9420" yWindow="640" windowWidth="24140" windowHeight="16420" tabRatio="875" xr2:uid="{00000000-000D-0000-FFFF-FFFF00000000}"/>
  </bookViews>
  <sheets>
    <sheet name="Condition 1" sheetId="1" r:id="rId1"/>
    <sheet name="Condition 2" sheetId="2" r:id="rId2"/>
    <sheet name="Condition 3" sheetId="3" r:id="rId3"/>
    <sheet name="Condition 4" sheetId="4" r:id="rId4"/>
    <sheet name="Condition 5" sheetId="5" r:id="rId5"/>
    <sheet name="Condition 6" sheetId="6" r:id="rId6"/>
    <sheet name="Condition 7" sheetId="7" r:id="rId7"/>
    <sheet name="Condition 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8" l="1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<sst xmlns="http://schemas.openxmlformats.org/spreadsheetml/2006/main" count="65" uniqueCount="11">
  <si>
    <t>drug</t>
    <phoneticPr fontId="1"/>
  </si>
  <si>
    <t>drug</t>
  </si>
  <si>
    <t>day</t>
    <phoneticPr fontId="1"/>
  </si>
  <si>
    <t>ETV</t>
    <phoneticPr fontId="1"/>
  </si>
  <si>
    <t>TET</t>
    <phoneticPr fontId="1"/>
  </si>
  <si>
    <t>TET+ETV</t>
    <phoneticPr fontId="1"/>
  </si>
  <si>
    <t>exp-1</t>
    <phoneticPr fontId="1"/>
  </si>
  <si>
    <t>exp-2</t>
    <phoneticPr fontId="1"/>
  </si>
  <si>
    <t>exp-3</t>
    <phoneticPr fontId="1"/>
  </si>
  <si>
    <t>average (copies/well)</t>
    <phoneticPr fontId="1"/>
  </si>
  <si>
    <t>SD  (copies/well)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</si>
</sst>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color rgb="FF000000"/>
      <name val="ＭＳ Ｐゴシック"/>
      <family val="3"/>
      <charset val="128"/>
      <scheme val="minor"/>
    </font>
    <font>
      <sz val="12"/>
      <name val="ＭＳ Ｐゴシック"/>
      <family val="2"/>
      <charset val="128"/>
      <scheme val="major"/>
    </font>
    <font>
      <sz val="12"/>
      <color rgb="FFFF0000"/>
      <name val="ＭＳ Ｐゴシック"/>
      <family val="3"/>
      <charset val="128"/>
      <scheme val="major"/>
    </font>
    <font>
      <sz val="12"/>
      <color theme="1"/>
      <name val="ＭＳ Ｐゴシック"/>
      <family val="2"/>
      <charset val="128"/>
      <scheme val="major"/>
    </font>
    <font>
      <sz val="6"/>
      <name val="Arial"/>
      <family val="2"/>
    </font>
    <font>
      <sz val="12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9" fillId="4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11" fontId="0" fillId="0" borderId="0" xfId="0" applyNumberFormat="1"/>
    <xf numFmtId="11" fontId="0" fillId="2" borderId="0" xfId="0" applyNumberFormat="1" applyFill="1"/>
    <xf numFmtId="11" fontId="0" fillId="3" borderId="0" xfId="0" applyNumberFormat="1" applyFill="1"/>
    <xf numFmtId="11" fontId="0" fillId="4" borderId="0" xfId="0" applyNumberFormat="1" applyFill="1"/>
  </cellXfs>
  <cellStyles count="5">
    <cellStyle name="ハイパーリンク" xfId="1" builtinId="8" hidden="1"/>
    <cellStyle name="ハイパーリンク" xfId="3" builtinId="8" hidden="1"/>
    <cellStyle name="標準" xfId="0" builtinId="0"/>
    <cellStyle name="表示済みのハイパーリンク" xfId="2" builtinId="9" hidden="1"/>
    <cellStyle name="表示済みのハイパーリンク" xfId="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24" sqref="H24"/>
    </sheetView>
  </sheetViews>
  <sheetFormatPr baseColWidth="10" defaultColWidth="12.83203125" defaultRowHeight="15"/>
  <sheetData>
    <row r="1" spans="1:6" ht="32">
      <c r="A1" s="7" t="s">
        <v>2</v>
      </c>
      <c r="B1" s="7" t="s">
        <v>6</v>
      </c>
      <c r="C1" s="7" t="s">
        <v>7</v>
      </c>
      <c r="D1" s="7" t="s">
        <v>8</v>
      </c>
      <c r="E1" s="8" t="s">
        <v>9</v>
      </c>
      <c r="F1" s="9" t="s">
        <v>10</v>
      </c>
    </row>
    <row r="2" spans="1:6">
      <c r="A2" s="3">
        <v>0</v>
      </c>
      <c r="B2" s="10"/>
      <c r="C2" s="10"/>
      <c r="D2" s="10"/>
      <c r="E2" s="11"/>
      <c r="F2" s="12"/>
    </row>
    <row r="3" spans="1:6">
      <c r="A3" s="4">
        <v>2</v>
      </c>
      <c r="B3" s="10">
        <v>312500</v>
      </c>
      <c r="C3" s="10">
        <v>425000</v>
      </c>
      <c r="D3" s="10">
        <v>255000</v>
      </c>
      <c r="E3" s="11">
        <f t="shared" ref="E3:E15" si="0">AVERAGE(B3:D3)</f>
        <v>330833.33333333331</v>
      </c>
      <c r="F3" s="12">
        <f t="shared" ref="F3:F15" si="1">STDEV(B3:D3)</f>
        <v>86470.129717338481</v>
      </c>
    </row>
    <row r="4" spans="1:6">
      <c r="A4" s="4">
        <v>4</v>
      </c>
      <c r="B4" s="10">
        <v>29500000</v>
      </c>
      <c r="C4" s="10">
        <v>28000000</v>
      </c>
      <c r="D4" s="10">
        <v>23075000</v>
      </c>
      <c r="E4" s="11">
        <f t="shared" si="0"/>
        <v>26858333.333333332</v>
      </c>
      <c r="F4" s="12">
        <f t="shared" si="1"/>
        <v>3361206.3806516514</v>
      </c>
    </row>
    <row r="5" spans="1:6">
      <c r="A5" s="4">
        <v>6</v>
      </c>
      <c r="B5" s="10">
        <v>342500000</v>
      </c>
      <c r="C5" s="10">
        <v>415000000</v>
      </c>
      <c r="D5" s="10">
        <v>580000000</v>
      </c>
      <c r="E5" s="11">
        <f t="shared" si="0"/>
        <v>445833333.33333331</v>
      </c>
      <c r="F5" s="12">
        <f t="shared" si="1"/>
        <v>121715172.97910443</v>
      </c>
    </row>
    <row r="6" spans="1:6">
      <c r="A6" s="4">
        <v>9</v>
      </c>
      <c r="B6" s="10">
        <v>1622500000</v>
      </c>
      <c r="C6" s="10">
        <v>2650000000</v>
      </c>
      <c r="D6" s="10">
        <v>1570000000</v>
      </c>
      <c r="E6" s="11">
        <f t="shared" si="0"/>
        <v>1947500000</v>
      </c>
      <c r="F6" s="12">
        <f t="shared" si="1"/>
        <v>608948889.48088241</v>
      </c>
    </row>
    <row r="7" spans="1:6">
      <c r="A7" s="4">
        <v>12</v>
      </c>
      <c r="B7" s="10">
        <v>2477500000</v>
      </c>
      <c r="C7" s="10">
        <v>3950000000</v>
      </c>
      <c r="D7" s="10">
        <v>5425000000</v>
      </c>
      <c r="E7" s="11">
        <f t="shared" si="0"/>
        <v>3950833333.3333335</v>
      </c>
      <c r="F7" s="12">
        <f t="shared" si="1"/>
        <v>1473750176.7034109</v>
      </c>
    </row>
    <row r="8" spans="1:6">
      <c r="A8" s="4">
        <v>18</v>
      </c>
      <c r="B8" s="10">
        <v>3900000000</v>
      </c>
      <c r="C8" s="10">
        <v>4150000000</v>
      </c>
      <c r="D8" s="10">
        <v>4075000000</v>
      </c>
      <c r="E8" s="11">
        <f t="shared" si="0"/>
        <v>4041666666.6666665</v>
      </c>
      <c r="F8" s="12">
        <f t="shared" si="1"/>
        <v>128290035.98617209</v>
      </c>
    </row>
    <row r="9" spans="1:6">
      <c r="A9" s="4">
        <v>24</v>
      </c>
      <c r="B9" s="10">
        <v>2600000000</v>
      </c>
      <c r="C9" s="10">
        <v>3075000000</v>
      </c>
      <c r="D9" s="10">
        <v>3475000000</v>
      </c>
      <c r="E9" s="11">
        <f t="shared" si="0"/>
        <v>3050000000</v>
      </c>
      <c r="F9" s="12">
        <f t="shared" si="1"/>
        <v>438035386.69838077</v>
      </c>
    </row>
    <row r="10" spans="1:6">
      <c r="A10" s="4">
        <v>30</v>
      </c>
      <c r="B10" s="10">
        <v>4025000000</v>
      </c>
      <c r="C10" s="10">
        <v>3675000000</v>
      </c>
      <c r="D10" s="10">
        <v>3925000000</v>
      </c>
      <c r="E10" s="11">
        <f t="shared" si="0"/>
        <v>3875000000</v>
      </c>
      <c r="F10" s="12">
        <f t="shared" si="1"/>
        <v>180277563.77319947</v>
      </c>
    </row>
    <row r="11" spans="1:6">
      <c r="A11" s="4">
        <v>36</v>
      </c>
      <c r="B11" s="10">
        <v>5225000000</v>
      </c>
      <c r="C11" s="10">
        <v>3950000000</v>
      </c>
      <c r="D11" s="10">
        <v>4725000000</v>
      </c>
      <c r="E11" s="11">
        <f t="shared" si="0"/>
        <v>4633333333.333333</v>
      </c>
      <c r="F11" s="12">
        <f t="shared" si="1"/>
        <v>642423795.74026358</v>
      </c>
    </row>
    <row r="12" spans="1:6">
      <c r="A12" s="4">
        <v>42</v>
      </c>
      <c r="B12" s="10">
        <v>7150000000</v>
      </c>
      <c r="C12" s="10">
        <v>5650000000</v>
      </c>
      <c r="D12" s="10">
        <v>5225000000</v>
      </c>
      <c r="E12" s="11">
        <f t="shared" si="0"/>
        <v>6008333333.333333</v>
      </c>
      <c r="F12" s="12">
        <f t="shared" si="1"/>
        <v>1011290429.7645321</v>
      </c>
    </row>
    <row r="13" spans="1:6">
      <c r="A13" s="1">
        <v>48</v>
      </c>
      <c r="B13" s="10">
        <v>5450000000</v>
      </c>
      <c r="C13" s="10">
        <v>7600000000</v>
      </c>
      <c r="D13" s="10">
        <v>13875000000</v>
      </c>
      <c r="E13" s="11">
        <f t="shared" si="0"/>
        <v>8975000000</v>
      </c>
      <c r="F13" s="12">
        <f t="shared" si="1"/>
        <v>4377570673.3301287</v>
      </c>
    </row>
    <row r="14" spans="1:6">
      <c r="A14" s="1">
        <v>54</v>
      </c>
      <c r="B14" s="10">
        <v>9775000000</v>
      </c>
      <c r="C14" s="10">
        <v>8625000000</v>
      </c>
      <c r="D14" s="10">
        <v>10800000000</v>
      </c>
      <c r="E14" s="11">
        <f t="shared" si="0"/>
        <v>9733333333.333334</v>
      </c>
      <c r="F14" s="12">
        <f t="shared" si="1"/>
        <v>1088098494.3162699</v>
      </c>
    </row>
    <row r="15" spans="1:6">
      <c r="A15" s="1">
        <v>60</v>
      </c>
      <c r="B15" s="10">
        <v>5875000000</v>
      </c>
      <c r="C15" s="10">
        <v>7575000000</v>
      </c>
      <c r="D15" s="10">
        <v>6350000000</v>
      </c>
      <c r="E15" s="11">
        <f t="shared" si="0"/>
        <v>6600000000</v>
      </c>
      <c r="F15" s="12">
        <f t="shared" si="1"/>
        <v>877140239.64243937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zoomScaleNormal="100" zoomScalePageLayoutView="75" workbookViewId="0">
      <selection activeCell="G2" sqref="G2"/>
    </sheetView>
  </sheetViews>
  <sheetFormatPr baseColWidth="10" defaultColWidth="12.83203125" defaultRowHeight="15"/>
  <sheetData>
    <row r="1" spans="1:7" ht="32">
      <c r="A1" s="7" t="s">
        <v>2</v>
      </c>
      <c r="B1" s="7" t="s">
        <v>6</v>
      </c>
      <c r="C1" s="7" t="s">
        <v>7</v>
      </c>
      <c r="D1" s="7" t="s">
        <v>8</v>
      </c>
      <c r="E1" s="8" t="s">
        <v>9</v>
      </c>
      <c r="F1" s="9" t="s">
        <v>10</v>
      </c>
      <c r="G1" t="s">
        <v>0</v>
      </c>
    </row>
    <row r="2" spans="1:7">
      <c r="A2" s="3">
        <v>0</v>
      </c>
      <c r="B2" s="10"/>
      <c r="C2" s="10"/>
      <c r="D2" s="10"/>
      <c r="E2" s="11"/>
      <c r="F2" s="12"/>
      <c r="G2" t="s">
        <v>3</v>
      </c>
    </row>
    <row r="3" spans="1:7">
      <c r="A3" s="4">
        <v>2</v>
      </c>
      <c r="B3" s="10">
        <v>243872.50900268555</v>
      </c>
      <c r="C3" s="10">
        <v>170229.16793823242</v>
      </c>
      <c r="D3" s="10">
        <v>310491.79077148438</v>
      </c>
      <c r="E3" s="11">
        <f t="shared" ref="E2:E15" si="0">AVERAGE(B3:D3)</f>
        <v>241531.15590413412</v>
      </c>
      <c r="F3" s="12">
        <f t="shared" ref="F2:F15" si="1">STDEV(B3:D3)</f>
        <v>70160.617812023629</v>
      </c>
    </row>
    <row r="4" spans="1:7">
      <c r="A4" s="4">
        <v>4</v>
      </c>
      <c r="B4" s="10">
        <v>289853.22952270508</v>
      </c>
      <c r="C4" s="10">
        <v>234932.84225463867</v>
      </c>
      <c r="D4" s="10">
        <v>329347.22900390625</v>
      </c>
      <c r="E4" s="11">
        <f t="shared" si="0"/>
        <v>284711.10026041669</v>
      </c>
      <c r="F4" s="12">
        <f t="shared" si="1"/>
        <v>47416.771572120255</v>
      </c>
    </row>
    <row r="5" spans="1:7">
      <c r="A5" s="4">
        <v>6</v>
      </c>
      <c r="B5" s="10">
        <v>3065050.6591796875</v>
      </c>
      <c r="C5" s="10">
        <v>3072025.146484375</v>
      </c>
      <c r="D5" s="10">
        <v>3436968.0786132812</v>
      </c>
      <c r="E5" s="11">
        <f t="shared" si="0"/>
        <v>3191347.9614257812</v>
      </c>
      <c r="F5" s="12">
        <f t="shared" si="1"/>
        <v>212741.84436469412</v>
      </c>
    </row>
    <row r="6" spans="1:7">
      <c r="A6" s="4">
        <v>9</v>
      </c>
      <c r="B6" s="10">
        <v>7261039.4287109375</v>
      </c>
      <c r="C6" s="10">
        <v>11080401.611328125</v>
      </c>
      <c r="D6" s="10">
        <v>7442551.26953125</v>
      </c>
      <c r="E6" s="11">
        <f t="shared" si="0"/>
        <v>8594664.1031901035</v>
      </c>
      <c r="F6" s="12">
        <f t="shared" si="1"/>
        <v>2154624.0638711564</v>
      </c>
    </row>
    <row r="7" spans="1:7">
      <c r="A7" s="4">
        <v>12</v>
      </c>
      <c r="B7" s="10">
        <v>5181051.6357421875</v>
      </c>
      <c r="C7" s="10">
        <v>5489677.734375</v>
      </c>
      <c r="D7" s="10">
        <v>5072383.7280273438</v>
      </c>
      <c r="E7" s="11">
        <f t="shared" si="0"/>
        <v>5247704.3660481768</v>
      </c>
      <c r="F7" s="12">
        <f t="shared" si="1"/>
        <v>216484.43772324995</v>
      </c>
    </row>
    <row r="8" spans="1:7">
      <c r="A8" s="4">
        <v>18</v>
      </c>
      <c r="B8" s="10">
        <v>7463432.0068359375</v>
      </c>
      <c r="C8" s="10">
        <v>7240387.5732421875</v>
      </c>
      <c r="D8" s="10">
        <v>13514108.88671875</v>
      </c>
      <c r="E8" s="11">
        <f t="shared" si="0"/>
        <v>9405976.155598959</v>
      </c>
      <c r="F8" s="12">
        <f t="shared" si="1"/>
        <v>3559494.7825797708</v>
      </c>
    </row>
    <row r="9" spans="1:7">
      <c r="A9" s="4">
        <v>24</v>
      </c>
      <c r="B9" s="10">
        <v>2258267.0593261719</v>
      </c>
      <c r="C9" s="10">
        <v>3746354.3701171875</v>
      </c>
      <c r="D9" s="10">
        <v>3498365.7836914062</v>
      </c>
      <c r="E9" s="11">
        <f t="shared" si="0"/>
        <v>3167662.4043782554</v>
      </c>
      <c r="F9" s="12">
        <f t="shared" si="1"/>
        <v>797260.62548652315</v>
      </c>
    </row>
    <row r="10" spans="1:7">
      <c r="A10" s="4">
        <v>30</v>
      </c>
      <c r="B10" s="10">
        <v>4256097.412109375</v>
      </c>
      <c r="C10" s="10">
        <v>3728512.5732421875</v>
      </c>
      <c r="D10" s="10">
        <v>4275898.7426757812</v>
      </c>
      <c r="E10" s="11">
        <f t="shared" si="0"/>
        <v>4086836.2426757812</v>
      </c>
      <c r="F10" s="12">
        <f t="shared" si="1"/>
        <v>310475.30051570374</v>
      </c>
    </row>
    <row r="11" spans="1:7">
      <c r="A11" s="4">
        <v>36</v>
      </c>
      <c r="B11" s="10">
        <v>3855273.1323242188</v>
      </c>
      <c r="C11" s="10">
        <v>4023594.970703125</v>
      </c>
      <c r="D11" s="10">
        <v>8900820.3125</v>
      </c>
      <c r="E11" s="11">
        <f t="shared" si="0"/>
        <v>5593229.4718424482</v>
      </c>
      <c r="F11" s="12">
        <f t="shared" si="1"/>
        <v>2865693.7968352623</v>
      </c>
    </row>
    <row r="12" spans="1:7">
      <c r="A12" s="4">
        <v>42</v>
      </c>
      <c r="B12" s="10">
        <v>5645979.6142578125</v>
      </c>
      <c r="C12" s="10">
        <v>5219028.9306640625</v>
      </c>
      <c r="D12" s="10">
        <v>5447951.66015625</v>
      </c>
      <c r="E12" s="11">
        <f t="shared" si="0"/>
        <v>5437653.401692708</v>
      </c>
      <c r="F12" s="12">
        <f t="shared" si="1"/>
        <v>213661.55983430674</v>
      </c>
    </row>
    <row r="13" spans="1:7">
      <c r="A13" s="1">
        <v>48</v>
      </c>
      <c r="B13" s="10">
        <v>2851750.1831054688</v>
      </c>
      <c r="C13" s="10">
        <v>2778338.3178710938</v>
      </c>
      <c r="D13" s="10">
        <v>2688721.6186523438</v>
      </c>
      <c r="E13" s="11">
        <f t="shared" si="0"/>
        <v>2772936.7065429688</v>
      </c>
      <c r="F13" s="12">
        <f t="shared" si="1"/>
        <v>81648.400233052816</v>
      </c>
    </row>
    <row r="14" spans="1:7">
      <c r="A14" s="1">
        <v>54</v>
      </c>
      <c r="B14" s="10">
        <v>3786306.15234375</v>
      </c>
      <c r="C14" s="10">
        <v>2827464.599609375</v>
      </c>
      <c r="D14" s="10">
        <v>3960762.6342773438</v>
      </c>
      <c r="E14" s="11">
        <f t="shared" si="0"/>
        <v>3524844.4620768228</v>
      </c>
      <c r="F14" s="12">
        <f t="shared" si="1"/>
        <v>610215.34760565974</v>
      </c>
    </row>
    <row r="15" spans="1:7">
      <c r="A15" s="1">
        <v>60</v>
      </c>
      <c r="B15" s="10">
        <v>4375626.8310546875</v>
      </c>
      <c r="C15" s="10">
        <v>4663933.10546875</v>
      </c>
      <c r="D15" s="10">
        <v>5762588.5009765625</v>
      </c>
      <c r="E15" s="11">
        <f t="shared" si="0"/>
        <v>4934049.479166667</v>
      </c>
      <c r="F15" s="12">
        <f t="shared" si="1"/>
        <v>731872.80996284203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Normal="100" zoomScalePageLayoutView="75" workbookViewId="0">
      <selection activeCell="G2" sqref="G2"/>
    </sheetView>
  </sheetViews>
  <sheetFormatPr baseColWidth="10" defaultColWidth="12.83203125" defaultRowHeight="15"/>
  <sheetData>
    <row r="1" spans="1:7" ht="32">
      <c r="A1" s="7" t="s">
        <v>2</v>
      </c>
      <c r="B1" s="7" t="s">
        <v>6</v>
      </c>
      <c r="C1" s="7" t="s">
        <v>7</v>
      </c>
      <c r="D1" s="7" t="s">
        <v>8</v>
      </c>
      <c r="E1" s="8" t="s">
        <v>9</v>
      </c>
      <c r="F1" s="9" t="s">
        <v>10</v>
      </c>
      <c r="G1" t="s">
        <v>0</v>
      </c>
    </row>
    <row r="2" spans="1:7">
      <c r="A2" s="3">
        <v>0</v>
      </c>
      <c r="B2" s="10"/>
      <c r="C2" s="10"/>
      <c r="D2" s="10"/>
      <c r="E2" s="11"/>
      <c r="F2" s="12"/>
    </row>
    <row r="3" spans="1:7">
      <c r="A3" s="4">
        <v>2</v>
      </c>
      <c r="B3" s="10">
        <v>312500</v>
      </c>
      <c r="C3" s="10">
        <v>425000</v>
      </c>
      <c r="D3" s="10">
        <v>255000</v>
      </c>
      <c r="E3" s="11">
        <f t="shared" ref="E2:E18" si="0">AVERAGE(B3:D3)</f>
        <v>330833.33333333331</v>
      </c>
      <c r="F3" s="12">
        <f t="shared" ref="F2:F18" si="1">STDEV(B3:D3)</f>
        <v>86470.129717338481</v>
      </c>
    </row>
    <row r="4" spans="1:7">
      <c r="A4" s="4">
        <v>4</v>
      </c>
      <c r="B4" s="10">
        <v>29500000</v>
      </c>
      <c r="C4" s="10">
        <v>28000000</v>
      </c>
      <c r="D4" s="10">
        <v>23075000</v>
      </c>
      <c r="E4" s="11">
        <f t="shared" si="0"/>
        <v>26858333.333333332</v>
      </c>
      <c r="F4" s="12">
        <f t="shared" si="1"/>
        <v>3361206.3806516514</v>
      </c>
    </row>
    <row r="5" spans="1:7">
      <c r="A5" s="4">
        <v>6</v>
      </c>
      <c r="B5" s="10">
        <v>342500000</v>
      </c>
      <c r="C5" s="10">
        <v>415000000</v>
      </c>
      <c r="D5" s="10">
        <v>580000000</v>
      </c>
      <c r="E5" s="11">
        <f t="shared" si="0"/>
        <v>445833333.33333331</v>
      </c>
      <c r="F5" s="12">
        <f t="shared" si="1"/>
        <v>121715172.97910443</v>
      </c>
    </row>
    <row r="6" spans="1:7">
      <c r="A6" s="4">
        <v>9</v>
      </c>
      <c r="B6" s="10">
        <v>1622500000</v>
      </c>
      <c r="C6" s="10">
        <v>2650000000</v>
      </c>
      <c r="D6" s="10">
        <v>1570000000</v>
      </c>
      <c r="E6" s="11">
        <f t="shared" si="0"/>
        <v>1947500000</v>
      </c>
      <c r="F6" s="12">
        <f t="shared" si="1"/>
        <v>608948889.48088241</v>
      </c>
    </row>
    <row r="7" spans="1:7">
      <c r="A7" s="4">
        <v>12</v>
      </c>
      <c r="B7" s="10">
        <v>2477500000</v>
      </c>
      <c r="C7" s="10">
        <v>3950000000</v>
      </c>
      <c r="D7" s="10">
        <v>5425000000</v>
      </c>
      <c r="E7" s="11">
        <f t="shared" si="0"/>
        <v>3950833333.3333335</v>
      </c>
      <c r="F7" s="12">
        <f t="shared" si="1"/>
        <v>1473750176.7034109</v>
      </c>
    </row>
    <row r="8" spans="1:7">
      <c r="A8" s="4">
        <v>18</v>
      </c>
      <c r="B8" s="10">
        <v>3900000000</v>
      </c>
      <c r="C8" s="10">
        <v>4150000000</v>
      </c>
      <c r="D8" s="10">
        <v>4075000000</v>
      </c>
      <c r="E8" s="11">
        <f t="shared" si="0"/>
        <v>4041666666.6666665</v>
      </c>
      <c r="F8" s="12">
        <f t="shared" si="1"/>
        <v>128290035.98617209</v>
      </c>
    </row>
    <row r="9" spans="1:7">
      <c r="A9" s="4">
        <v>24</v>
      </c>
      <c r="B9" s="10">
        <v>2600000000</v>
      </c>
      <c r="C9" s="10">
        <v>3075000000</v>
      </c>
      <c r="D9" s="10">
        <v>3475000000</v>
      </c>
      <c r="E9" s="11">
        <f t="shared" si="0"/>
        <v>3050000000</v>
      </c>
      <c r="F9" s="12">
        <f t="shared" si="1"/>
        <v>438035386.69838077</v>
      </c>
    </row>
    <row r="10" spans="1:7">
      <c r="A10" s="5">
        <v>30</v>
      </c>
      <c r="B10" s="13">
        <v>3938673750</v>
      </c>
      <c r="C10" s="13">
        <v>4052036562.5</v>
      </c>
      <c r="D10" s="13">
        <v>4501633750</v>
      </c>
      <c r="E10" s="13">
        <f t="shared" si="0"/>
        <v>4164114687.5</v>
      </c>
      <c r="F10" s="13">
        <f t="shared" si="1"/>
        <v>297745058.69558394</v>
      </c>
      <c r="G10" t="s">
        <v>3</v>
      </c>
    </row>
    <row r="11" spans="1:7">
      <c r="A11" s="1">
        <v>32</v>
      </c>
      <c r="B11" s="10">
        <v>2122497500</v>
      </c>
      <c r="C11" s="10">
        <v>2020968437.5</v>
      </c>
      <c r="D11" s="10">
        <v>2210734218.75</v>
      </c>
      <c r="E11" s="11">
        <f t="shared" si="0"/>
        <v>2118066718.75</v>
      </c>
      <c r="F11" s="12">
        <f t="shared" si="1"/>
        <v>94960448.61003831</v>
      </c>
    </row>
    <row r="12" spans="1:7">
      <c r="A12" s="1">
        <v>34</v>
      </c>
      <c r="B12" s="10">
        <v>2323780625</v>
      </c>
      <c r="C12" s="10">
        <v>2706677812.5</v>
      </c>
      <c r="D12" s="10">
        <v>2675813437.5</v>
      </c>
      <c r="E12" s="11">
        <f t="shared" si="0"/>
        <v>2568757291.6666665</v>
      </c>
      <c r="F12" s="12">
        <f t="shared" si="1"/>
        <v>212716543.36080325</v>
      </c>
    </row>
    <row r="13" spans="1:7">
      <c r="A13" s="1">
        <v>36</v>
      </c>
      <c r="B13" s="10">
        <v>1288800390.625</v>
      </c>
      <c r="C13" s="10">
        <v>1416612031.25</v>
      </c>
      <c r="D13" s="10">
        <v>1791568281.25</v>
      </c>
      <c r="E13" s="11">
        <f t="shared" si="0"/>
        <v>1498993567.7083333</v>
      </c>
      <c r="F13" s="12">
        <f t="shared" si="1"/>
        <v>261311932.60699889</v>
      </c>
    </row>
    <row r="14" spans="1:7">
      <c r="A14" s="1">
        <v>39</v>
      </c>
      <c r="B14" s="10">
        <v>1329804687.5</v>
      </c>
      <c r="C14" s="10">
        <v>1372773593.75</v>
      </c>
      <c r="D14" s="10">
        <v>1280883203.125</v>
      </c>
      <c r="E14" s="11">
        <f t="shared" si="0"/>
        <v>1327820494.7916667</v>
      </c>
      <c r="F14" s="12">
        <f t="shared" si="1"/>
        <v>45977317.645026058</v>
      </c>
    </row>
    <row r="15" spans="1:7">
      <c r="A15" s="1">
        <v>42</v>
      </c>
      <c r="B15" s="10">
        <v>1254049140.625</v>
      </c>
      <c r="C15" s="10">
        <v>1269268359.375</v>
      </c>
      <c r="D15" s="10">
        <v>1927888281.25</v>
      </c>
      <c r="E15" s="11">
        <f t="shared" si="0"/>
        <v>1483735260.4166667</v>
      </c>
      <c r="F15" s="12">
        <f t="shared" si="1"/>
        <v>384723063.50330919</v>
      </c>
    </row>
    <row r="16" spans="1:7">
      <c r="A16" s="1">
        <v>48</v>
      </c>
      <c r="B16" s="10">
        <v>1254788203.125</v>
      </c>
      <c r="C16" s="10">
        <v>1550036093.75</v>
      </c>
      <c r="D16" s="10">
        <v>2231026093.75</v>
      </c>
      <c r="E16" s="11">
        <f t="shared" si="0"/>
        <v>1678616796.875</v>
      </c>
      <c r="F16" s="12">
        <f t="shared" si="1"/>
        <v>500659417.85317141</v>
      </c>
    </row>
    <row r="17" spans="1:6">
      <c r="A17" s="1">
        <v>54</v>
      </c>
      <c r="B17" s="10">
        <v>779452500</v>
      </c>
      <c r="C17" s="10">
        <v>1122336484.375</v>
      </c>
      <c r="D17" s="10">
        <v>903363906.25</v>
      </c>
      <c r="E17" s="11">
        <f t="shared" si="0"/>
        <v>935050963.54166663</v>
      </c>
      <c r="F17" s="12">
        <f t="shared" si="1"/>
        <v>173624332.64111599</v>
      </c>
    </row>
    <row r="18" spans="1:6">
      <c r="A18" s="1">
        <v>60</v>
      </c>
      <c r="B18" s="10">
        <v>918213593.75</v>
      </c>
      <c r="C18" s="10">
        <v>577919414.0625</v>
      </c>
      <c r="D18" s="10">
        <v>970899531.25</v>
      </c>
      <c r="E18" s="11">
        <f t="shared" si="0"/>
        <v>822344179.6875</v>
      </c>
      <c r="F18" s="12">
        <f t="shared" si="1"/>
        <v>213310926.91348597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Normal="100" zoomScalePageLayoutView="75" workbookViewId="0">
      <selection activeCell="G2" sqref="G2"/>
    </sheetView>
  </sheetViews>
  <sheetFormatPr baseColWidth="10" defaultColWidth="12.83203125" defaultRowHeight="15"/>
  <sheetData>
    <row r="1" spans="1:7" ht="32">
      <c r="A1" s="7" t="s">
        <v>2</v>
      </c>
      <c r="B1" s="7" t="s">
        <v>6</v>
      </c>
      <c r="C1" s="7" t="s">
        <v>7</v>
      </c>
      <c r="D1" s="7" t="s">
        <v>8</v>
      </c>
      <c r="E1" s="8" t="s">
        <v>9</v>
      </c>
      <c r="F1" s="9" t="s">
        <v>10</v>
      </c>
      <c r="G1" s="2" t="s">
        <v>1</v>
      </c>
    </row>
    <row r="2" spans="1:7">
      <c r="A2" s="3">
        <v>0</v>
      </c>
      <c r="B2" s="10"/>
      <c r="C2" s="10"/>
      <c r="D2" s="10"/>
      <c r="E2" s="11"/>
      <c r="F2" s="12"/>
    </row>
    <row r="3" spans="1:7">
      <c r="A3" s="4">
        <v>2</v>
      </c>
      <c r="B3" s="10">
        <v>312500</v>
      </c>
      <c r="C3" s="10">
        <v>425000</v>
      </c>
      <c r="D3" s="10">
        <v>255000</v>
      </c>
      <c r="E3" s="11">
        <f t="shared" ref="E2:E18" si="0">AVERAGE(B3:D3)</f>
        <v>330833.33333333331</v>
      </c>
      <c r="F3" s="12">
        <f t="shared" ref="F2:F18" si="1">STDEV(B3:D3)</f>
        <v>86470.129717338481</v>
      </c>
    </row>
    <row r="4" spans="1:7">
      <c r="A4" s="4">
        <v>4</v>
      </c>
      <c r="B4" s="10">
        <v>29500000</v>
      </c>
      <c r="C4" s="10">
        <v>28000000</v>
      </c>
      <c r="D4" s="10">
        <v>23075000</v>
      </c>
      <c r="E4" s="11">
        <f t="shared" si="0"/>
        <v>26858333.333333332</v>
      </c>
      <c r="F4" s="12">
        <f t="shared" si="1"/>
        <v>3361206.3806516514</v>
      </c>
    </row>
    <row r="5" spans="1:7">
      <c r="A5" s="4">
        <v>6</v>
      </c>
      <c r="B5" s="10">
        <v>342500000</v>
      </c>
      <c r="C5" s="10">
        <v>415000000</v>
      </c>
      <c r="D5" s="10">
        <v>580000000</v>
      </c>
      <c r="E5" s="11">
        <f t="shared" si="0"/>
        <v>445833333.33333331</v>
      </c>
      <c r="F5" s="12">
        <f t="shared" si="1"/>
        <v>121715172.97910443</v>
      </c>
    </row>
    <row r="6" spans="1:7">
      <c r="A6" s="4">
        <v>9</v>
      </c>
      <c r="B6" s="10">
        <v>1622500000</v>
      </c>
      <c r="C6" s="10">
        <v>2650000000</v>
      </c>
      <c r="D6" s="10">
        <v>1570000000</v>
      </c>
      <c r="E6" s="11">
        <f t="shared" si="0"/>
        <v>1947500000</v>
      </c>
      <c r="F6" s="12">
        <f t="shared" si="1"/>
        <v>608948889.48088241</v>
      </c>
    </row>
    <row r="7" spans="1:7">
      <c r="A7" s="4">
        <v>12</v>
      </c>
      <c r="B7" s="10">
        <v>2477500000</v>
      </c>
      <c r="C7" s="10">
        <v>3950000000</v>
      </c>
      <c r="D7" s="10">
        <v>5425000000</v>
      </c>
      <c r="E7" s="11">
        <f t="shared" si="0"/>
        <v>3950833333.3333335</v>
      </c>
      <c r="F7" s="12">
        <f t="shared" si="1"/>
        <v>1473750176.7034109</v>
      </c>
    </row>
    <row r="8" spans="1:7">
      <c r="A8" s="4">
        <v>18</v>
      </c>
      <c r="B8" s="10">
        <v>3900000000</v>
      </c>
      <c r="C8" s="10">
        <v>4150000000</v>
      </c>
      <c r="D8" s="10">
        <v>4075000000</v>
      </c>
      <c r="E8" s="11">
        <f t="shared" si="0"/>
        <v>4041666666.6666665</v>
      </c>
      <c r="F8" s="12">
        <f t="shared" si="1"/>
        <v>128290035.98617209</v>
      </c>
    </row>
    <row r="9" spans="1:7">
      <c r="A9" s="4">
        <v>24</v>
      </c>
      <c r="B9" s="10">
        <v>2600000000</v>
      </c>
      <c r="C9" s="10">
        <v>3075000000</v>
      </c>
      <c r="D9" s="10">
        <v>3475000000</v>
      </c>
      <c r="E9" s="11">
        <f t="shared" si="0"/>
        <v>3050000000</v>
      </c>
      <c r="F9" s="12">
        <f t="shared" si="1"/>
        <v>438035386.69838077</v>
      </c>
    </row>
    <row r="10" spans="1:7">
      <c r="A10" s="5">
        <v>30</v>
      </c>
      <c r="B10" s="13">
        <v>3938673750</v>
      </c>
      <c r="C10" s="13">
        <v>4052036562.5</v>
      </c>
      <c r="D10" s="13">
        <v>4501633750</v>
      </c>
      <c r="E10" s="13">
        <f t="shared" si="0"/>
        <v>4164114687.5</v>
      </c>
      <c r="F10" s="13">
        <f t="shared" si="1"/>
        <v>297745058.69558394</v>
      </c>
      <c r="G10" t="s">
        <v>4</v>
      </c>
    </row>
    <row r="11" spans="1:7">
      <c r="A11" s="1">
        <v>32</v>
      </c>
      <c r="B11" s="10">
        <v>2397558750</v>
      </c>
      <c r="C11" s="10">
        <v>2631224375</v>
      </c>
      <c r="D11" s="10">
        <v>3187522500</v>
      </c>
      <c r="E11" s="11">
        <f t="shared" si="0"/>
        <v>2738768541.6666665</v>
      </c>
      <c r="F11" s="12">
        <f t="shared" si="1"/>
        <v>405813987.45796895</v>
      </c>
    </row>
    <row r="12" spans="1:7">
      <c r="A12" s="1">
        <v>34</v>
      </c>
      <c r="B12" s="10">
        <v>2689362812.5</v>
      </c>
      <c r="C12" s="10">
        <v>2913411562.5</v>
      </c>
      <c r="D12" s="10">
        <v>2859151875</v>
      </c>
      <c r="E12" s="11">
        <f t="shared" si="0"/>
        <v>2820642083.3333335</v>
      </c>
      <c r="F12" s="12">
        <f t="shared" si="1"/>
        <v>116883333.43466115</v>
      </c>
    </row>
    <row r="13" spans="1:7">
      <c r="A13" s="1">
        <v>36</v>
      </c>
      <c r="B13" s="10">
        <v>2254019218.75</v>
      </c>
      <c r="C13" s="10">
        <v>1845744218.75</v>
      </c>
      <c r="D13" s="10">
        <v>2131145781.25</v>
      </c>
      <c r="E13" s="11">
        <f t="shared" si="0"/>
        <v>2076969739.5833333</v>
      </c>
      <c r="F13" s="12">
        <f t="shared" si="1"/>
        <v>209459784.98091537</v>
      </c>
    </row>
    <row r="14" spans="1:7">
      <c r="A14" s="1">
        <v>39</v>
      </c>
      <c r="B14" s="10">
        <v>1617027968.75</v>
      </c>
      <c r="C14" s="10">
        <v>1694920625</v>
      </c>
      <c r="D14" s="10">
        <v>2064515156.25</v>
      </c>
      <c r="E14" s="11">
        <f t="shared" si="0"/>
        <v>1792154583.3333333</v>
      </c>
      <c r="F14" s="12">
        <f t="shared" si="1"/>
        <v>239064902.76500565</v>
      </c>
    </row>
    <row r="15" spans="1:7">
      <c r="A15" s="1">
        <v>42</v>
      </c>
      <c r="B15" s="10">
        <v>3083760000</v>
      </c>
      <c r="C15" s="10">
        <v>1823802656.25</v>
      </c>
      <c r="D15" s="10">
        <v>1730082187.5</v>
      </c>
      <c r="E15" s="11">
        <f t="shared" si="0"/>
        <v>2212548281.25</v>
      </c>
      <c r="F15" s="12">
        <f t="shared" si="1"/>
        <v>755945286.20210099</v>
      </c>
    </row>
    <row r="16" spans="1:7">
      <c r="A16" s="1">
        <v>48</v>
      </c>
      <c r="B16" s="10">
        <v>4186983125</v>
      </c>
      <c r="C16" s="10">
        <v>2533210156.25</v>
      </c>
      <c r="D16" s="10">
        <v>2389236718.75</v>
      </c>
      <c r="E16" s="11">
        <f t="shared" si="0"/>
        <v>3036476666.6666665</v>
      </c>
      <c r="F16" s="12">
        <f t="shared" si="1"/>
        <v>998964924.64771938</v>
      </c>
    </row>
    <row r="17" spans="1:6">
      <c r="A17" s="1">
        <v>54</v>
      </c>
      <c r="B17" s="10">
        <v>1065759140.625</v>
      </c>
      <c r="C17" s="10">
        <v>1468265156.25</v>
      </c>
      <c r="D17" s="10">
        <v>1907331875</v>
      </c>
      <c r="E17" s="11">
        <f t="shared" si="0"/>
        <v>1480452057.2916667</v>
      </c>
      <c r="F17" s="12">
        <f t="shared" si="1"/>
        <v>420918706.1994316</v>
      </c>
    </row>
    <row r="18" spans="1:6">
      <c r="A18" s="1">
        <v>60</v>
      </c>
      <c r="B18" s="10">
        <v>1596870312.5</v>
      </c>
      <c r="C18" s="10">
        <v>2025472656.25</v>
      </c>
      <c r="D18" s="10">
        <v>1174265078.125</v>
      </c>
      <c r="E18" s="11">
        <f t="shared" si="0"/>
        <v>1598869348.9583333</v>
      </c>
      <c r="F18" s="12">
        <f t="shared" si="1"/>
        <v>425607310.05755609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>
      <selection activeCell="G2" sqref="G2"/>
    </sheetView>
  </sheetViews>
  <sheetFormatPr baseColWidth="10" defaultColWidth="12.83203125" defaultRowHeight="15"/>
  <sheetData>
    <row r="1" spans="1:7" ht="32">
      <c r="A1" s="7" t="s">
        <v>2</v>
      </c>
      <c r="B1" s="7" t="s">
        <v>6</v>
      </c>
      <c r="C1" s="7" t="s">
        <v>7</v>
      </c>
      <c r="D1" s="7" t="s">
        <v>8</v>
      </c>
      <c r="E1" s="8" t="s">
        <v>9</v>
      </c>
      <c r="F1" s="9" t="s">
        <v>10</v>
      </c>
      <c r="G1" s="2" t="s">
        <v>1</v>
      </c>
    </row>
    <row r="2" spans="1:7">
      <c r="A2" s="3">
        <v>0</v>
      </c>
      <c r="B2" s="10"/>
      <c r="C2" s="10"/>
      <c r="D2" s="10"/>
      <c r="E2" s="11"/>
      <c r="F2" s="12"/>
      <c r="G2" t="s">
        <v>3</v>
      </c>
    </row>
    <row r="3" spans="1:7">
      <c r="A3" s="4">
        <v>2</v>
      </c>
      <c r="B3" s="10">
        <v>243872.50900268555</v>
      </c>
      <c r="C3" s="10">
        <v>170229.16793823242</v>
      </c>
      <c r="D3" s="10">
        <v>310491.79077148438</v>
      </c>
      <c r="E3" s="11">
        <f t="shared" ref="E2:E18" si="0">AVERAGE(B3:D3)</f>
        <v>241531.15590413412</v>
      </c>
      <c r="F3" s="12">
        <f t="shared" ref="F2:F18" si="1">STDEV(B3:D3)</f>
        <v>70160.617812023629</v>
      </c>
    </row>
    <row r="4" spans="1:7">
      <c r="A4" s="4">
        <v>4</v>
      </c>
      <c r="B4" s="10">
        <v>289853.22952270508</v>
      </c>
      <c r="C4" s="10">
        <v>234932.84225463867</v>
      </c>
      <c r="D4" s="10">
        <v>329347.22900390625</v>
      </c>
      <c r="E4" s="11">
        <f t="shared" si="0"/>
        <v>284711.10026041669</v>
      </c>
      <c r="F4" s="12">
        <f t="shared" si="1"/>
        <v>47416.771572120255</v>
      </c>
    </row>
    <row r="5" spans="1:7">
      <c r="A5" s="4">
        <v>6</v>
      </c>
      <c r="B5" s="10">
        <v>3065050.6591796875</v>
      </c>
      <c r="C5" s="10">
        <v>3072025.146484375</v>
      </c>
      <c r="D5" s="10">
        <v>3436968.0786132812</v>
      </c>
      <c r="E5" s="11">
        <f t="shared" si="0"/>
        <v>3191347.9614257812</v>
      </c>
      <c r="F5" s="12">
        <f t="shared" si="1"/>
        <v>212741.84436469412</v>
      </c>
    </row>
    <row r="6" spans="1:7">
      <c r="A6" s="4">
        <v>9</v>
      </c>
      <c r="B6" s="10">
        <v>7261039.4287109375</v>
      </c>
      <c r="C6" s="10">
        <v>11080401.611328125</v>
      </c>
      <c r="D6" s="10">
        <v>7442551.26953125</v>
      </c>
      <c r="E6" s="11">
        <f t="shared" si="0"/>
        <v>8594664.1031901035</v>
      </c>
      <c r="F6" s="12">
        <f t="shared" si="1"/>
        <v>2154624.0638711564</v>
      </c>
    </row>
    <row r="7" spans="1:7">
      <c r="A7" s="4">
        <v>12</v>
      </c>
      <c r="B7" s="10">
        <v>5181051.6357421875</v>
      </c>
      <c r="C7" s="10">
        <v>5489677.734375</v>
      </c>
      <c r="D7" s="10">
        <v>5072383.7280273438</v>
      </c>
      <c r="E7" s="11">
        <f t="shared" si="0"/>
        <v>5247704.3660481768</v>
      </c>
      <c r="F7" s="12">
        <f t="shared" si="1"/>
        <v>216484.43772324995</v>
      </c>
    </row>
    <row r="8" spans="1:7">
      <c r="A8" s="4">
        <v>18</v>
      </c>
      <c r="B8" s="10">
        <v>7463432.0068359375</v>
      </c>
      <c r="C8" s="10">
        <v>7240387.5732421875</v>
      </c>
      <c r="D8" s="10">
        <v>13514108.88671875</v>
      </c>
      <c r="E8" s="11">
        <f t="shared" si="0"/>
        <v>9405976.155598959</v>
      </c>
      <c r="F8" s="12">
        <f t="shared" si="1"/>
        <v>3559494.7825797708</v>
      </c>
    </row>
    <row r="9" spans="1:7">
      <c r="A9" s="4">
        <v>24</v>
      </c>
      <c r="B9" s="10">
        <v>2258267.0593261719</v>
      </c>
      <c r="C9" s="10">
        <v>3746354.3701171875</v>
      </c>
      <c r="D9" s="10">
        <v>3498365.7836914062</v>
      </c>
      <c r="E9" s="11">
        <f t="shared" si="0"/>
        <v>3167662.4043782554</v>
      </c>
      <c r="F9" s="12">
        <f t="shared" si="1"/>
        <v>797260.62548652315</v>
      </c>
    </row>
    <row r="10" spans="1:7">
      <c r="A10" s="5">
        <v>30</v>
      </c>
      <c r="B10" s="13">
        <v>3762008.9721679688</v>
      </c>
      <c r="C10" s="13">
        <v>3348784.1796875</v>
      </c>
      <c r="D10" s="13">
        <v>3402077.3315429688</v>
      </c>
      <c r="E10" s="13">
        <f t="shared" si="0"/>
        <v>3504290.1611328125</v>
      </c>
      <c r="F10" s="13">
        <f t="shared" si="1"/>
        <v>224776.06451689522</v>
      </c>
      <c r="G10" t="s">
        <v>5</v>
      </c>
    </row>
    <row r="11" spans="1:7">
      <c r="A11" s="1">
        <v>32</v>
      </c>
      <c r="B11" s="10">
        <v>2883177.7954101562</v>
      </c>
      <c r="C11" s="10">
        <v>3304918.212890625</v>
      </c>
      <c r="D11" s="10">
        <v>3135641.4794921875</v>
      </c>
      <c r="E11" s="11">
        <f t="shared" si="0"/>
        <v>3107912.4959309897</v>
      </c>
      <c r="F11" s="12">
        <f t="shared" si="1"/>
        <v>212233.16736823416</v>
      </c>
    </row>
    <row r="12" spans="1:7">
      <c r="A12" s="1">
        <v>34</v>
      </c>
      <c r="B12" s="10">
        <v>3799723.5107421875</v>
      </c>
      <c r="C12" s="10">
        <v>4561659.5458984375</v>
      </c>
      <c r="D12" s="10">
        <v>4517576.2939453125</v>
      </c>
      <c r="E12" s="11">
        <f t="shared" si="0"/>
        <v>4292986.4501953125</v>
      </c>
      <c r="F12" s="12">
        <f t="shared" si="1"/>
        <v>427746.51238104049</v>
      </c>
    </row>
    <row r="13" spans="1:7">
      <c r="A13" s="1">
        <v>36</v>
      </c>
      <c r="B13" s="10">
        <v>2961780.0903320312</v>
      </c>
      <c r="C13" s="10">
        <v>3480189.208984375</v>
      </c>
      <c r="D13" s="10">
        <v>3134792.7856445312</v>
      </c>
      <c r="E13" s="11">
        <f t="shared" si="0"/>
        <v>3192254.0283203125</v>
      </c>
      <c r="F13" s="12">
        <f t="shared" si="1"/>
        <v>263938.15446588758</v>
      </c>
    </row>
    <row r="14" spans="1:7">
      <c r="A14" s="1">
        <v>39</v>
      </c>
      <c r="B14" s="10">
        <v>4086730.3466796875</v>
      </c>
      <c r="C14" s="10">
        <v>3616502.9907226562</v>
      </c>
      <c r="D14" s="10">
        <v>3352565.0024414062</v>
      </c>
      <c r="E14" s="11">
        <f t="shared" si="0"/>
        <v>3685266.11328125</v>
      </c>
      <c r="F14" s="12">
        <f t="shared" si="1"/>
        <v>371881.65246235882</v>
      </c>
    </row>
    <row r="15" spans="1:7">
      <c r="A15" s="1">
        <v>42</v>
      </c>
      <c r="B15" s="10">
        <v>5086753.8452148438</v>
      </c>
      <c r="C15" s="10">
        <v>6693974.609375</v>
      </c>
      <c r="D15" s="10">
        <v>6097476.806640625</v>
      </c>
      <c r="E15" s="11">
        <f t="shared" si="0"/>
        <v>5959401.7537434893</v>
      </c>
      <c r="F15" s="12">
        <f t="shared" si="1"/>
        <v>812458.113604201</v>
      </c>
    </row>
    <row r="16" spans="1:7">
      <c r="A16" s="1">
        <v>48</v>
      </c>
      <c r="B16" s="10">
        <v>1707897.6440429688</v>
      </c>
      <c r="C16" s="10">
        <v>1884293.9758300781</v>
      </c>
      <c r="D16" s="10">
        <v>1929084.3200683594</v>
      </c>
      <c r="E16" s="11">
        <f t="shared" si="0"/>
        <v>1840425.313313802</v>
      </c>
      <c r="F16" s="12">
        <f t="shared" si="1"/>
        <v>116936.86790749729</v>
      </c>
    </row>
    <row r="17" spans="1:6">
      <c r="A17" s="1">
        <v>54</v>
      </c>
      <c r="B17" s="10">
        <v>2084132.6904296875</v>
      </c>
      <c r="C17" s="10">
        <v>1811175.537109375</v>
      </c>
      <c r="D17" s="10">
        <v>2093554.9926757812</v>
      </c>
      <c r="E17" s="11">
        <f t="shared" si="0"/>
        <v>1996287.7400716145</v>
      </c>
      <c r="F17" s="12">
        <f t="shared" si="1"/>
        <v>160381.07964798785</v>
      </c>
    </row>
    <row r="18" spans="1:6">
      <c r="A18" s="1">
        <v>60</v>
      </c>
      <c r="B18" s="10">
        <v>1622704.6203613281</v>
      </c>
      <c r="C18" s="10">
        <v>1640681.6101074219</v>
      </c>
      <c r="D18" s="10">
        <v>1759664.306640625</v>
      </c>
      <c r="E18" s="11">
        <f t="shared" si="0"/>
        <v>1674350.1790364583</v>
      </c>
      <c r="F18" s="12">
        <f t="shared" si="1"/>
        <v>74428.948109776582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activeCell="I13" sqref="I13"/>
    </sheetView>
  </sheetViews>
  <sheetFormatPr baseColWidth="10" defaultColWidth="12.83203125" defaultRowHeight="15"/>
  <sheetData>
    <row r="1" spans="1:7" ht="32">
      <c r="A1" s="7" t="s">
        <v>2</v>
      </c>
      <c r="B1" s="7" t="s">
        <v>6</v>
      </c>
      <c r="C1" s="7" t="s">
        <v>7</v>
      </c>
      <c r="D1" s="7" t="s">
        <v>8</v>
      </c>
      <c r="E1" s="8" t="s">
        <v>9</v>
      </c>
      <c r="F1" s="9" t="s">
        <v>10</v>
      </c>
      <c r="G1" s="2" t="s">
        <v>1</v>
      </c>
    </row>
    <row r="2" spans="1:7">
      <c r="A2" s="3">
        <v>0</v>
      </c>
      <c r="B2" s="10"/>
      <c r="C2" s="10"/>
      <c r="D2" s="10"/>
      <c r="E2" s="11"/>
      <c r="F2" s="12"/>
    </row>
    <row r="3" spans="1:7">
      <c r="A3" s="4">
        <v>2</v>
      </c>
      <c r="B3" s="10">
        <v>312500</v>
      </c>
      <c r="C3" s="10">
        <v>425000</v>
      </c>
      <c r="D3" s="10">
        <v>255000</v>
      </c>
      <c r="E3" s="11">
        <f t="shared" ref="E2:E22" si="0">AVERAGE(B3:D3)</f>
        <v>330833.33333333331</v>
      </c>
      <c r="F3" s="12">
        <f t="shared" ref="F2:F22" si="1">STDEV(B3:D3)</f>
        <v>86470.129717338481</v>
      </c>
    </row>
    <row r="4" spans="1:7">
      <c r="A4" s="4">
        <v>4</v>
      </c>
      <c r="B4" s="10">
        <v>29500000</v>
      </c>
      <c r="C4" s="10">
        <v>28000000</v>
      </c>
      <c r="D4" s="10">
        <v>23075000</v>
      </c>
      <c r="E4" s="11">
        <f t="shared" si="0"/>
        <v>26858333.333333332</v>
      </c>
      <c r="F4" s="12">
        <f t="shared" si="1"/>
        <v>3361206.3806516514</v>
      </c>
    </row>
    <row r="5" spans="1:7">
      <c r="A5" s="4">
        <v>6</v>
      </c>
      <c r="B5" s="10">
        <v>342500000</v>
      </c>
      <c r="C5" s="10">
        <v>415000000</v>
      </c>
      <c r="D5" s="10">
        <v>580000000</v>
      </c>
      <c r="E5" s="11">
        <f t="shared" si="0"/>
        <v>445833333.33333331</v>
      </c>
      <c r="F5" s="12">
        <f t="shared" si="1"/>
        <v>121715172.97910443</v>
      </c>
    </row>
    <row r="6" spans="1:7">
      <c r="A6" s="4">
        <v>9</v>
      </c>
      <c r="B6" s="10">
        <v>1622500000</v>
      </c>
      <c r="C6" s="10">
        <v>2650000000</v>
      </c>
      <c r="D6" s="10">
        <v>1570000000</v>
      </c>
      <c r="E6" s="11">
        <f t="shared" si="0"/>
        <v>1947500000</v>
      </c>
      <c r="F6" s="12">
        <f t="shared" si="1"/>
        <v>608948889.48088241</v>
      </c>
    </row>
    <row r="7" spans="1:7">
      <c r="A7" s="4">
        <v>12</v>
      </c>
      <c r="B7" s="10">
        <v>2477500000</v>
      </c>
      <c r="C7" s="10">
        <v>3950000000</v>
      </c>
      <c r="D7" s="10">
        <v>5425000000</v>
      </c>
      <c r="E7" s="11">
        <f t="shared" si="0"/>
        <v>3950833333.3333335</v>
      </c>
      <c r="F7" s="12">
        <f t="shared" si="1"/>
        <v>1473750176.7034109</v>
      </c>
    </row>
    <row r="8" spans="1:7">
      <c r="A8" s="4">
        <v>18</v>
      </c>
      <c r="B8" s="10">
        <v>3900000000</v>
      </c>
      <c r="C8" s="10">
        <v>4150000000</v>
      </c>
      <c r="D8" s="10">
        <v>4075000000</v>
      </c>
      <c r="E8" s="11">
        <f t="shared" si="0"/>
        <v>4041666666.6666665</v>
      </c>
      <c r="F8" s="12">
        <f t="shared" si="1"/>
        <v>128290035.98617209</v>
      </c>
    </row>
    <row r="9" spans="1:7">
      <c r="A9" s="4">
        <v>24</v>
      </c>
      <c r="B9" s="10">
        <v>2600000000</v>
      </c>
      <c r="C9" s="10">
        <v>3075000000</v>
      </c>
      <c r="D9" s="10">
        <v>3475000000</v>
      </c>
      <c r="E9" s="11">
        <f t="shared" si="0"/>
        <v>3050000000</v>
      </c>
      <c r="F9" s="12">
        <f t="shared" si="1"/>
        <v>438035386.69838077</v>
      </c>
    </row>
    <row r="10" spans="1:7">
      <c r="A10" s="5">
        <v>30</v>
      </c>
      <c r="B10" s="13">
        <v>3353583437.5</v>
      </c>
      <c r="C10" s="13">
        <v>3286212187.5</v>
      </c>
      <c r="D10" s="13">
        <v>3652623750</v>
      </c>
      <c r="E10" s="13">
        <f t="shared" si="0"/>
        <v>3430806458.3333335</v>
      </c>
      <c r="F10" s="13">
        <f t="shared" si="1"/>
        <v>195030521.95333922</v>
      </c>
      <c r="G10" t="s">
        <v>3</v>
      </c>
    </row>
    <row r="11" spans="1:7">
      <c r="A11" s="1">
        <v>32</v>
      </c>
      <c r="B11" s="10">
        <v>2122497500</v>
      </c>
      <c r="C11" s="10">
        <v>2020968437.5</v>
      </c>
      <c r="D11" s="10">
        <v>2210734218.75</v>
      </c>
      <c r="E11" s="11">
        <f t="shared" si="0"/>
        <v>2118066718.75</v>
      </c>
      <c r="F11" s="12">
        <f t="shared" si="1"/>
        <v>94960448.61003831</v>
      </c>
    </row>
    <row r="12" spans="1:7">
      <c r="A12" s="1">
        <v>34</v>
      </c>
      <c r="B12" s="10">
        <v>2323780625</v>
      </c>
      <c r="C12" s="10">
        <v>2706677812.5</v>
      </c>
      <c r="D12" s="10">
        <v>2675813437.5</v>
      </c>
      <c r="E12" s="11">
        <f t="shared" si="0"/>
        <v>2568757291.6666665</v>
      </c>
      <c r="F12" s="12">
        <f t="shared" si="1"/>
        <v>212716543.36080325</v>
      </c>
    </row>
    <row r="13" spans="1:7">
      <c r="A13" s="1">
        <v>36</v>
      </c>
      <c r="B13" s="10">
        <v>1288800390.625</v>
      </c>
      <c r="C13" s="10">
        <v>1416612031.25</v>
      </c>
      <c r="D13" s="10">
        <v>1791568281.25</v>
      </c>
      <c r="E13" s="11">
        <f t="shared" si="0"/>
        <v>1498993567.7083333</v>
      </c>
      <c r="F13" s="12">
        <f t="shared" si="1"/>
        <v>261311932.60699889</v>
      </c>
    </row>
    <row r="14" spans="1:7">
      <c r="A14" s="1">
        <v>39</v>
      </c>
      <c r="B14" s="10">
        <v>1329804687.5</v>
      </c>
      <c r="C14" s="10">
        <v>1372773593.75</v>
      </c>
      <c r="D14" s="10">
        <v>1280883203.125</v>
      </c>
      <c r="E14" s="11">
        <f t="shared" si="0"/>
        <v>1327820494.7916667</v>
      </c>
      <c r="F14" s="12">
        <f t="shared" si="1"/>
        <v>45977317.645026058</v>
      </c>
    </row>
    <row r="15" spans="1:7">
      <c r="A15" s="1">
        <v>42</v>
      </c>
      <c r="B15" s="10">
        <v>1254049140.625</v>
      </c>
      <c r="C15" s="10">
        <v>1269268359.375</v>
      </c>
      <c r="D15" s="10">
        <v>1927888281.25</v>
      </c>
      <c r="E15" s="11">
        <f t="shared" si="0"/>
        <v>1483735260.4166667</v>
      </c>
      <c r="F15" s="12">
        <f t="shared" si="1"/>
        <v>384723063.50330919</v>
      </c>
    </row>
    <row r="16" spans="1:7">
      <c r="A16" s="5">
        <v>45</v>
      </c>
      <c r="B16" s="13">
        <v>333142382.8125</v>
      </c>
      <c r="C16" s="13">
        <v>618950000</v>
      </c>
      <c r="D16" s="13">
        <v>963728593.75</v>
      </c>
      <c r="E16" s="13">
        <f t="shared" si="0"/>
        <v>638606992.1875</v>
      </c>
      <c r="F16" s="13">
        <f t="shared" si="1"/>
        <v>315752340.23285246</v>
      </c>
      <c r="G16" t="s">
        <v>5</v>
      </c>
    </row>
    <row r="17" spans="1:6">
      <c r="A17" s="1">
        <v>47</v>
      </c>
      <c r="B17" s="10">
        <v>644311562.5</v>
      </c>
      <c r="C17" s="10">
        <v>588164140.625</v>
      </c>
      <c r="D17" s="10">
        <v>667016875</v>
      </c>
      <c r="E17" s="11">
        <f t="shared" si="0"/>
        <v>633164192.70833337</v>
      </c>
      <c r="F17" s="12">
        <f t="shared" si="1"/>
        <v>40591086.700871885</v>
      </c>
    </row>
    <row r="18" spans="1:6">
      <c r="A18" s="1">
        <v>49</v>
      </c>
      <c r="B18" s="10">
        <v>601818164.0625</v>
      </c>
      <c r="C18" s="10">
        <v>528257187.5</v>
      </c>
      <c r="D18" s="10">
        <v>511951679.6875</v>
      </c>
      <c r="E18" s="11">
        <f t="shared" si="0"/>
        <v>547342343.75</v>
      </c>
      <c r="F18" s="12">
        <f t="shared" si="1"/>
        <v>47876702.531562418</v>
      </c>
    </row>
    <row r="19" spans="1:6">
      <c r="A19" s="1">
        <v>51</v>
      </c>
      <c r="B19" s="10">
        <v>651694921.875</v>
      </c>
      <c r="C19" s="10">
        <v>826287656.25</v>
      </c>
      <c r="D19" s="10">
        <v>1103200234.375</v>
      </c>
      <c r="E19" s="11">
        <f t="shared" si="0"/>
        <v>860394270.83333337</v>
      </c>
      <c r="F19" s="12">
        <f t="shared" si="1"/>
        <v>227676761.38043299</v>
      </c>
    </row>
    <row r="20" spans="1:6">
      <c r="A20" s="1">
        <v>54</v>
      </c>
      <c r="B20" s="10">
        <v>695984531.25</v>
      </c>
      <c r="C20" s="10">
        <v>820123281.25</v>
      </c>
      <c r="D20" s="10">
        <v>720985234.375</v>
      </c>
      <c r="E20" s="11">
        <f t="shared" si="0"/>
        <v>745697682.29166663</v>
      </c>
      <c r="F20" s="12">
        <f t="shared" si="1"/>
        <v>65655434.84294425</v>
      </c>
    </row>
    <row r="21" spans="1:6">
      <c r="A21" s="1">
        <v>57</v>
      </c>
      <c r="B21" s="10">
        <v>566044375</v>
      </c>
      <c r="C21" s="10">
        <v>576584101.5625</v>
      </c>
      <c r="D21" s="10">
        <v>613069375</v>
      </c>
      <c r="E21" s="11">
        <f t="shared" si="0"/>
        <v>585232617.1875</v>
      </c>
      <c r="F21" s="12">
        <f t="shared" si="1"/>
        <v>24676613.891231146</v>
      </c>
    </row>
    <row r="22" spans="1:6">
      <c r="A22" s="1">
        <v>60</v>
      </c>
      <c r="B22" s="10">
        <v>514286953.125</v>
      </c>
      <c r="C22" s="10">
        <v>651094375</v>
      </c>
      <c r="D22" s="10">
        <v>407943320.3125</v>
      </c>
      <c r="E22" s="11">
        <f t="shared" si="0"/>
        <v>524441549.47916669</v>
      </c>
      <c r="F22" s="12">
        <f t="shared" si="1"/>
        <v>121893173.39067024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activeCell="G2" sqref="G2"/>
    </sheetView>
  </sheetViews>
  <sheetFormatPr baseColWidth="10" defaultColWidth="12.83203125" defaultRowHeight="15"/>
  <sheetData>
    <row r="1" spans="1:7" ht="32">
      <c r="A1" s="7" t="s">
        <v>2</v>
      </c>
      <c r="B1" s="7" t="s">
        <v>6</v>
      </c>
      <c r="C1" s="7" t="s">
        <v>7</v>
      </c>
      <c r="D1" s="7" t="s">
        <v>8</v>
      </c>
      <c r="E1" s="8" t="s">
        <v>9</v>
      </c>
      <c r="F1" s="9" t="s">
        <v>10</v>
      </c>
      <c r="G1" t="s">
        <v>0</v>
      </c>
    </row>
    <row r="2" spans="1:7">
      <c r="A2" s="3">
        <v>0</v>
      </c>
      <c r="B2" s="10"/>
      <c r="C2" s="10"/>
      <c r="D2" s="10"/>
      <c r="E2" s="11"/>
      <c r="F2" s="12"/>
    </row>
    <row r="3" spans="1:7">
      <c r="A3" s="4">
        <v>2</v>
      </c>
      <c r="B3" s="10">
        <v>312500</v>
      </c>
      <c r="C3" s="10">
        <v>425000</v>
      </c>
      <c r="D3" s="10">
        <v>255000</v>
      </c>
      <c r="E3" s="11">
        <f t="shared" ref="E2:E18" si="0">AVERAGE(B3:D3)</f>
        <v>330833.33333333331</v>
      </c>
      <c r="F3" s="12">
        <f t="shared" ref="F2:F18" si="1">STDEV(B3:D3)</f>
        <v>86470.129717338481</v>
      </c>
    </row>
    <row r="4" spans="1:7">
      <c r="A4" s="4">
        <v>4</v>
      </c>
      <c r="B4" s="10">
        <v>29500000</v>
      </c>
      <c r="C4" s="10">
        <v>28000000</v>
      </c>
      <c r="D4" s="10">
        <v>23075000</v>
      </c>
      <c r="E4" s="11">
        <f t="shared" si="0"/>
        <v>26858333.333333332</v>
      </c>
      <c r="F4" s="12">
        <f t="shared" si="1"/>
        <v>3361206.3806516514</v>
      </c>
    </row>
    <row r="5" spans="1:7">
      <c r="A5" s="4">
        <v>6</v>
      </c>
      <c r="B5" s="10">
        <v>342500000</v>
      </c>
      <c r="C5" s="10">
        <v>415000000</v>
      </c>
      <c r="D5" s="10">
        <v>580000000</v>
      </c>
      <c r="E5" s="11">
        <f t="shared" si="0"/>
        <v>445833333.33333331</v>
      </c>
      <c r="F5" s="12">
        <f t="shared" si="1"/>
        <v>121715172.97910443</v>
      </c>
    </row>
    <row r="6" spans="1:7">
      <c r="A6" s="4">
        <v>9</v>
      </c>
      <c r="B6" s="10">
        <v>1622500000</v>
      </c>
      <c r="C6" s="10">
        <v>2650000000</v>
      </c>
      <c r="D6" s="10">
        <v>1570000000</v>
      </c>
      <c r="E6" s="11">
        <f t="shared" si="0"/>
        <v>1947500000</v>
      </c>
      <c r="F6" s="12">
        <f t="shared" si="1"/>
        <v>608948889.48088241</v>
      </c>
    </row>
    <row r="7" spans="1:7">
      <c r="A7" s="4">
        <v>12</v>
      </c>
      <c r="B7" s="10">
        <v>2477500000</v>
      </c>
      <c r="C7" s="10">
        <v>3950000000</v>
      </c>
      <c r="D7" s="10">
        <v>5425000000</v>
      </c>
      <c r="E7" s="11">
        <f t="shared" si="0"/>
        <v>3950833333.3333335</v>
      </c>
      <c r="F7" s="12">
        <f t="shared" si="1"/>
        <v>1473750176.7034109</v>
      </c>
    </row>
    <row r="8" spans="1:7">
      <c r="A8" s="4">
        <v>18</v>
      </c>
      <c r="B8" s="10">
        <v>3900000000</v>
      </c>
      <c r="C8" s="10">
        <v>4150000000</v>
      </c>
      <c r="D8" s="10">
        <v>4075000000</v>
      </c>
      <c r="E8" s="11">
        <f t="shared" si="0"/>
        <v>4041666666.6666665</v>
      </c>
      <c r="F8" s="12">
        <f t="shared" si="1"/>
        <v>128290035.98617209</v>
      </c>
    </row>
    <row r="9" spans="1:7">
      <c r="A9" s="4">
        <v>24</v>
      </c>
      <c r="B9" s="10">
        <v>2600000000</v>
      </c>
      <c r="C9" s="10">
        <v>3075000000</v>
      </c>
      <c r="D9" s="10">
        <v>3475000000</v>
      </c>
      <c r="E9" s="11">
        <f t="shared" si="0"/>
        <v>3050000000</v>
      </c>
      <c r="F9" s="12">
        <f t="shared" si="1"/>
        <v>438035386.69838077</v>
      </c>
    </row>
    <row r="10" spans="1:7">
      <c r="A10" s="5">
        <v>30</v>
      </c>
      <c r="B10" s="13">
        <v>3928455937.5</v>
      </c>
      <c r="C10" s="13">
        <v>4016028437.5</v>
      </c>
      <c r="D10" s="13">
        <v>4032700312.5</v>
      </c>
      <c r="E10" s="13">
        <f t="shared" si="0"/>
        <v>3992394895.8333335</v>
      </c>
      <c r="F10" s="13">
        <f t="shared" si="1"/>
        <v>55996702.122247413</v>
      </c>
      <c r="G10" t="s">
        <v>5</v>
      </c>
    </row>
    <row r="11" spans="1:7">
      <c r="A11" s="1">
        <v>32</v>
      </c>
      <c r="B11" s="10">
        <v>2295633437.5</v>
      </c>
      <c r="C11" s="10">
        <v>2493524375</v>
      </c>
      <c r="D11" s="10">
        <v>2544040781.25</v>
      </c>
      <c r="E11" s="11">
        <f t="shared" si="0"/>
        <v>2444399531.25</v>
      </c>
      <c r="F11" s="12">
        <f t="shared" si="1"/>
        <v>131287812.88577056</v>
      </c>
    </row>
    <row r="12" spans="1:7">
      <c r="A12" s="1">
        <v>34</v>
      </c>
      <c r="B12" s="10">
        <v>1921201562.5</v>
      </c>
      <c r="C12" s="10">
        <v>1795809062.5</v>
      </c>
      <c r="D12" s="10">
        <v>2148380468.75</v>
      </c>
      <c r="E12" s="11">
        <f t="shared" si="0"/>
        <v>1955130364.5833333</v>
      </c>
      <c r="F12" s="12">
        <f t="shared" si="1"/>
        <v>178717715.50236183</v>
      </c>
    </row>
    <row r="13" spans="1:7">
      <c r="A13" s="1">
        <v>36</v>
      </c>
      <c r="B13" s="10">
        <v>1261478750</v>
      </c>
      <c r="C13" s="10">
        <v>1532861406.25</v>
      </c>
      <c r="D13" s="10">
        <v>1708214062.5</v>
      </c>
      <c r="E13" s="11">
        <f t="shared" si="0"/>
        <v>1500851406.25</v>
      </c>
      <c r="F13" s="12">
        <f t="shared" si="1"/>
        <v>225081296.27674127</v>
      </c>
    </row>
    <row r="14" spans="1:7">
      <c r="A14" s="1">
        <v>39</v>
      </c>
      <c r="B14" s="10">
        <v>1945227656.25</v>
      </c>
      <c r="C14" s="10">
        <v>1842850312.5</v>
      </c>
      <c r="D14" s="10">
        <v>1974625000</v>
      </c>
      <c r="E14" s="11">
        <f t="shared" si="0"/>
        <v>1920900989.5833333</v>
      </c>
      <c r="F14" s="12">
        <f t="shared" si="1"/>
        <v>69173565.035814062</v>
      </c>
    </row>
    <row r="15" spans="1:7">
      <c r="A15" s="1">
        <v>42</v>
      </c>
      <c r="B15" s="10">
        <v>1257136171.875</v>
      </c>
      <c r="C15" s="10">
        <v>1277846406.25</v>
      </c>
      <c r="D15" s="10">
        <v>1195202812.5</v>
      </c>
      <c r="E15" s="11">
        <f t="shared" si="0"/>
        <v>1243395130.2083333</v>
      </c>
      <c r="F15" s="12">
        <f t="shared" si="1"/>
        <v>43001198.431468882</v>
      </c>
    </row>
    <row r="16" spans="1:7">
      <c r="A16" s="1">
        <v>48</v>
      </c>
      <c r="B16" s="10">
        <v>1086908828.125</v>
      </c>
      <c r="C16" s="10">
        <v>928817109.375</v>
      </c>
      <c r="D16" s="10">
        <v>831918906.25</v>
      </c>
      <c r="E16" s="11">
        <f t="shared" si="0"/>
        <v>949214947.91666663</v>
      </c>
      <c r="F16" s="12">
        <f t="shared" si="1"/>
        <v>128712932.24588442</v>
      </c>
    </row>
    <row r="17" spans="1:6">
      <c r="A17" s="1">
        <v>54</v>
      </c>
      <c r="B17" s="10">
        <v>516767109.375</v>
      </c>
      <c r="C17" s="10">
        <v>672800000</v>
      </c>
      <c r="D17" s="10">
        <v>685315546.875</v>
      </c>
      <c r="E17" s="11">
        <f t="shared" si="0"/>
        <v>624960885.41666663</v>
      </c>
      <c r="F17" s="12">
        <f t="shared" si="1"/>
        <v>93907292.629544035</v>
      </c>
    </row>
    <row r="18" spans="1:6">
      <c r="A18" s="1">
        <v>60</v>
      </c>
      <c r="B18" s="10">
        <v>669961953.125</v>
      </c>
      <c r="C18" s="10">
        <v>720627031.25</v>
      </c>
      <c r="D18" s="10">
        <v>708863437.5</v>
      </c>
      <c r="E18" s="11">
        <f t="shared" si="0"/>
        <v>699817473.95833337</v>
      </c>
      <c r="F18" s="12">
        <f t="shared" si="1"/>
        <v>26516214.429117899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selection activeCell="I17" sqref="I17"/>
    </sheetView>
  </sheetViews>
  <sheetFormatPr baseColWidth="10" defaultColWidth="12.83203125" defaultRowHeight="15"/>
  <sheetData>
    <row r="1" spans="1:7" ht="32">
      <c r="A1" s="7" t="s">
        <v>2</v>
      </c>
      <c r="B1" s="7" t="s">
        <v>6</v>
      </c>
      <c r="C1" s="7" t="s">
        <v>7</v>
      </c>
      <c r="D1" s="7" t="s">
        <v>8</v>
      </c>
      <c r="E1" s="8" t="s">
        <v>9</v>
      </c>
      <c r="F1" s="9" t="s">
        <v>10</v>
      </c>
      <c r="G1" t="s">
        <v>0</v>
      </c>
    </row>
    <row r="2" spans="1:7">
      <c r="A2" s="3">
        <v>0</v>
      </c>
      <c r="B2" s="10"/>
      <c r="C2" s="10"/>
      <c r="D2" s="10"/>
      <c r="E2" s="11"/>
      <c r="F2" s="12"/>
    </row>
    <row r="3" spans="1:7">
      <c r="A3" s="4">
        <v>2</v>
      </c>
      <c r="B3" s="10">
        <v>312500</v>
      </c>
      <c r="C3" s="10">
        <v>425000</v>
      </c>
      <c r="D3" s="10">
        <v>255000</v>
      </c>
      <c r="E3" s="11">
        <f t="shared" ref="E2:E22" si="0">AVERAGE(B3:D3)</f>
        <v>330833.33333333331</v>
      </c>
      <c r="F3" s="12">
        <f t="shared" ref="F2:F22" si="1">STDEV(B3:D3)</f>
        <v>86470.129717338481</v>
      </c>
    </row>
    <row r="4" spans="1:7">
      <c r="A4" s="4">
        <v>4</v>
      </c>
      <c r="B4" s="10">
        <v>29500000</v>
      </c>
      <c r="C4" s="10">
        <v>28000000</v>
      </c>
      <c r="D4" s="10">
        <v>23075000</v>
      </c>
      <c r="E4" s="11">
        <f t="shared" si="0"/>
        <v>26858333.333333332</v>
      </c>
      <c r="F4" s="12">
        <f t="shared" si="1"/>
        <v>3361206.3806516514</v>
      </c>
    </row>
    <row r="5" spans="1:7">
      <c r="A5" s="4">
        <v>6</v>
      </c>
      <c r="B5" s="10">
        <v>342500000</v>
      </c>
      <c r="C5" s="10">
        <v>415000000</v>
      </c>
      <c r="D5" s="10">
        <v>580000000</v>
      </c>
      <c r="E5" s="11">
        <f t="shared" si="0"/>
        <v>445833333.33333331</v>
      </c>
      <c r="F5" s="12">
        <f t="shared" si="1"/>
        <v>121715172.97910443</v>
      </c>
    </row>
    <row r="6" spans="1:7">
      <c r="A6" s="4">
        <v>9</v>
      </c>
      <c r="B6" s="10">
        <v>1622500000</v>
      </c>
      <c r="C6" s="10">
        <v>2650000000</v>
      </c>
      <c r="D6" s="10">
        <v>1570000000</v>
      </c>
      <c r="E6" s="11">
        <f t="shared" si="0"/>
        <v>1947500000</v>
      </c>
      <c r="F6" s="12">
        <f t="shared" si="1"/>
        <v>608948889.48088241</v>
      </c>
    </row>
    <row r="7" spans="1:7">
      <c r="A7" s="4">
        <v>12</v>
      </c>
      <c r="B7" s="10">
        <v>2477500000</v>
      </c>
      <c r="C7" s="10">
        <v>3950000000</v>
      </c>
      <c r="D7" s="10">
        <v>5425000000</v>
      </c>
      <c r="E7" s="11">
        <f t="shared" si="0"/>
        <v>3950833333.3333335</v>
      </c>
      <c r="F7" s="12">
        <f t="shared" si="1"/>
        <v>1473750176.7034109</v>
      </c>
    </row>
    <row r="8" spans="1:7">
      <c r="A8" s="4">
        <v>18</v>
      </c>
      <c r="B8" s="10">
        <v>3900000000</v>
      </c>
      <c r="C8" s="10">
        <v>4150000000</v>
      </c>
      <c r="D8" s="10">
        <v>4075000000</v>
      </c>
      <c r="E8" s="11">
        <f t="shared" si="0"/>
        <v>4041666666.6666665</v>
      </c>
      <c r="F8" s="12">
        <f t="shared" si="1"/>
        <v>128290035.98617209</v>
      </c>
    </row>
    <row r="9" spans="1:7">
      <c r="A9" s="4">
        <v>24</v>
      </c>
      <c r="B9" s="10">
        <v>2600000000</v>
      </c>
      <c r="C9" s="10">
        <v>3075000000</v>
      </c>
      <c r="D9" s="10">
        <v>3475000000</v>
      </c>
      <c r="E9" s="11">
        <f t="shared" si="0"/>
        <v>3050000000</v>
      </c>
      <c r="F9" s="12">
        <f t="shared" si="1"/>
        <v>438035386.69838077</v>
      </c>
    </row>
    <row r="10" spans="1:7">
      <c r="A10" s="5">
        <v>30</v>
      </c>
      <c r="B10" s="13">
        <v>3353583437.5</v>
      </c>
      <c r="C10" s="13">
        <v>3286212187.5</v>
      </c>
      <c r="D10" s="13">
        <v>3652623750</v>
      </c>
      <c r="E10" s="13">
        <f t="shared" si="0"/>
        <v>3430806458.3333335</v>
      </c>
      <c r="F10" s="13">
        <f t="shared" si="1"/>
        <v>195030521.95333922</v>
      </c>
      <c r="G10" t="s">
        <v>4</v>
      </c>
    </row>
    <row r="11" spans="1:7">
      <c r="A11" s="1">
        <v>32</v>
      </c>
      <c r="B11" s="10">
        <v>2397558750</v>
      </c>
      <c r="C11" s="10">
        <v>2631224375</v>
      </c>
      <c r="D11" s="10">
        <v>3187522500</v>
      </c>
      <c r="E11" s="11">
        <f t="shared" si="0"/>
        <v>2738768541.6666665</v>
      </c>
      <c r="F11" s="12">
        <f t="shared" si="1"/>
        <v>405813987.45796895</v>
      </c>
    </row>
    <row r="12" spans="1:7">
      <c r="A12" s="1">
        <v>34</v>
      </c>
      <c r="B12" s="10">
        <v>2689362812.5</v>
      </c>
      <c r="C12" s="10">
        <v>2913411562.5</v>
      </c>
      <c r="D12" s="10">
        <v>2859151875</v>
      </c>
      <c r="E12" s="11">
        <f t="shared" si="0"/>
        <v>2820642083.3333335</v>
      </c>
      <c r="F12" s="12">
        <f t="shared" si="1"/>
        <v>116883333.43466115</v>
      </c>
    </row>
    <row r="13" spans="1:7">
      <c r="A13" s="1">
        <v>36</v>
      </c>
      <c r="B13" s="10">
        <v>2254019218.75</v>
      </c>
      <c r="C13" s="10">
        <v>1845744218.75</v>
      </c>
      <c r="D13" s="10">
        <v>2131145781.25</v>
      </c>
      <c r="E13" s="11">
        <f t="shared" si="0"/>
        <v>2076969739.5833333</v>
      </c>
      <c r="F13" s="12">
        <f t="shared" si="1"/>
        <v>209459784.98091537</v>
      </c>
    </row>
    <row r="14" spans="1:7">
      <c r="A14" s="1">
        <v>39</v>
      </c>
      <c r="B14" s="10">
        <v>1617027968.75</v>
      </c>
      <c r="C14" s="10">
        <v>1694920625</v>
      </c>
      <c r="D14" s="10">
        <v>2064515156.25</v>
      </c>
      <c r="E14" s="11">
        <f t="shared" si="0"/>
        <v>1792154583.3333333</v>
      </c>
      <c r="F14" s="12">
        <f t="shared" si="1"/>
        <v>239064902.76500565</v>
      </c>
    </row>
    <row r="15" spans="1:7">
      <c r="A15" s="1">
        <v>42</v>
      </c>
      <c r="B15" s="10">
        <v>3083760000</v>
      </c>
      <c r="C15" s="10">
        <v>1823802656.25</v>
      </c>
      <c r="D15" s="10">
        <v>1730082187.5</v>
      </c>
      <c r="E15" s="11">
        <f t="shared" si="0"/>
        <v>2212548281.25</v>
      </c>
      <c r="F15" s="12">
        <f t="shared" si="1"/>
        <v>755945286.20210099</v>
      </c>
    </row>
    <row r="16" spans="1:7">
      <c r="A16" s="6">
        <v>45</v>
      </c>
      <c r="B16" s="13">
        <v>1366765312.5</v>
      </c>
      <c r="C16" s="13">
        <v>1373775468.75</v>
      </c>
      <c r="D16" s="13">
        <v>1371800468.75</v>
      </c>
      <c r="E16" s="13">
        <f t="shared" si="0"/>
        <v>1370780416.6666667</v>
      </c>
      <c r="F16" s="13">
        <f t="shared" si="1"/>
        <v>3614685.6504941094</v>
      </c>
      <c r="G16" t="s">
        <v>5</v>
      </c>
    </row>
    <row r="17" spans="1:6">
      <c r="A17" s="1">
        <v>47</v>
      </c>
      <c r="B17" s="10">
        <v>1023627812.5</v>
      </c>
      <c r="C17" s="10">
        <v>970862656.25</v>
      </c>
      <c r="D17" s="10">
        <v>938105546.875</v>
      </c>
      <c r="E17" s="11">
        <f t="shared" si="0"/>
        <v>977532005.20833337</v>
      </c>
      <c r="F17" s="12">
        <f t="shared" si="1"/>
        <v>43149445.431595996</v>
      </c>
    </row>
    <row r="18" spans="1:6">
      <c r="A18" s="1">
        <v>49</v>
      </c>
      <c r="B18" s="10">
        <v>707569765.625</v>
      </c>
      <c r="C18" s="10">
        <v>771211640.625</v>
      </c>
      <c r="D18" s="10">
        <v>1015036562.5</v>
      </c>
      <c r="E18" s="11">
        <f t="shared" si="0"/>
        <v>831272656.25</v>
      </c>
      <c r="F18" s="12">
        <f t="shared" si="1"/>
        <v>162294337.52775538</v>
      </c>
    </row>
    <row r="19" spans="1:6">
      <c r="A19" s="1">
        <v>51</v>
      </c>
      <c r="B19" s="10">
        <v>684582734.375</v>
      </c>
      <c r="C19" s="10">
        <v>605910351.5625</v>
      </c>
      <c r="D19" s="10">
        <v>629807968.75</v>
      </c>
      <c r="E19" s="11">
        <f t="shared" si="0"/>
        <v>640100351.5625</v>
      </c>
      <c r="F19" s="12">
        <f t="shared" si="1"/>
        <v>40333432.934953853</v>
      </c>
    </row>
    <row r="20" spans="1:6">
      <c r="A20" s="1">
        <v>54</v>
      </c>
      <c r="B20" s="10">
        <v>1282727968.75</v>
      </c>
      <c r="C20" s="10">
        <v>1340054062.5</v>
      </c>
      <c r="D20" s="10">
        <v>764138281.25</v>
      </c>
      <c r="E20" s="11">
        <f t="shared" si="0"/>
        <v>1128973437.5</v>
      </c>
      <c r="F20" s="12">
        <f t="shared" si="1"/>
        <v>317253981.35110867</v>
      </c>
    </row>
    <row r="21" spans="1:6">
      <c r="A21" s="1">
        <v>57</v>
      </c>
      <c r="B21" s="10">
        <v>638619375</v>
      </c>
      <c r="C21" s="10">
        <v>784496093.75</v>
      </c>
      <c r="D21" s="10">
        <v>779873906.25</v>
      </c>
      <c r="E21" s="11">
        <f t="shared" si="0"/>
        <v>734329791.66666663</v>
      </c>
      <c r="F21" s="12">
        <f t="shared" si="1"/>
        <v>82919865.220594138</v>
      </c>
    </row>
    <row r="22" spans="1:6">
      <c r="A22" s="1">
        <v>60</v>
      </c>
      <c r="B22" s="10">
        <v>774258828.125</v>
      </c>
      <c r="C22" s="10">
        <v>642896718.75</v>
      </c>
      <c r="D22" s="10">
        <v>796898437.5</v>
      </c>
      <c r="E22" s="11">
        <f t="shared" si="0"/>
        <v>738017994.79166663</v>
      </c>
      <c r="F22" s="12">
        <f t="shared" si="1"/>
        <v>83151553.473217562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Condition 1</vt:lpstr>
      <vt:lpstr>Condition 2</vt:lpstr>
      <vt:lpstr>Condition 3</vt:lpstr>
      <vt:lpstr>Condition 4</vt:lpstr>
      <vt:lpstr>Condition 5</vt:lpstr>
      <vt:lpstr>Condition 6</vt:lpstr>
      <vt:lpstr>Condition 7</vt:lpstr>
      <vt:lpstr>Condition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</dc:creator>
  <cp:lastModifiedBy>WATASHI, Koichi /渡士幸一</cp:lastModifiedBy>
  <dcterms:created xsi:type="dcterms:W3CDTF">2017-03-12T09:30:16Z</dcterms:created>
  <dcterms:modified xsi:type="dcterms:W3CDTF">2026-06-07T15:42:11Z</dcterms:modified>
</cp:coreProperties>
</file>