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atashikouichi/Desktop/2026.5 Hep-Tet細胞論文/Suppl Fig 定量データ/"/>
    </mc:Choice>
  </mc:AlternateContent>
  <xr:revisionPtr revIDLastSave="0" documentId="13_ncr:1_{AB7F0CC3-7A65-4B44-9C7F-873E3BED33F1}" xr6:coauthVersionLast="47" xr6:coauthVersionMax="47" xr10:uidLastSave="{00000000-0000-0000-0000-000000000000}"/>
  <bookViews>
    <workbookView xWindow="9060" yWindow="520" windowWidth="24660" windowHeight="16420" tabRatio="875" activeTab="7" xr2:uid="{00000000-000D-0000-FFFF-FFFF00000000}"/>
  </bookViews>
  <sheets>
    <sheet name="Condition 1" sheetId="1" r:id="rId1"/>
    <sheet name="Condition 2" sheetId="2" r:id="rId2"/>
    <sheet name="Condition 3" sheetId="3" r:id="rId3"/>
    <sheet name="Condition 4" sheetId="4" r:id="rId4"/>
    <sheet name="Condition 5" sheetId="5" r:id="rId5"/>
    <sheet name="Condition 6" sheetId="6" r:id="rId6"/>
    <sheet name="Condition 7" sheetId="7" r:id="rId7"/>
    <sheet name="Condition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</calcChain>
</file>

<file path=xl/sharedStrings.xml><?xml version="1.0" encoding="utf-8"?>
<sst xmlns="http://schemas.openxmlformats.org/spreadsheetml/2006/main" count="65" uniqueCount="10">
  <si>
    <t>day</t>
    <phoneticPr fontId="1"/>
  </si>
  <si>
    <t>drug</t>
    <phoneticPr fontId="1"/>
  </si>
  <si>
    <t>ETV</t>
    <phoneticPr fontId="1"/>
  </si>
  <si>
    <t>TET</t>
    <phoneticPr fontId="1"/>
  </si>
  <si>
    <t>TET+ETV</t>
    <phoneticPr fontId="1"/>
  </si>
  <si>
    <t>average (copies/well)</t>
    <phoneticPr fontId="1"/>
  </si>
  <si>
    <t>SD  (copies/well)</t>
    <phoneticPr fontId="6"/>
  </si>
  <si>
    <t>exp-1</t>
    <phoneticPr fontId="1"/>
  </si>
  <si>
    <t>exp-2</t>
    <phoneticPr fontId="1"/>
  </si>
  <si>
    <t>exp-3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</si>
</sst>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ajor"/>
    </font>
    <font>
      <sz val="6"/>
      <name val="Arial"/>
      <family val="2"/>
    </font>
    <font>
      <sz val="12"/>
      <color rgb="FF00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1" fontId="0" fillId="2" borderId="0" xfId="0" applyNumberFormat="1" applyFill="1" applyAlignment="1">
      <alignment horizontal="center"/>
    </xf>
    <xf numFmtId="11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11" fontId="0" fillId="0" borderId="0" xfId="0" applyNumberFormat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11" fontId="0" fillId="4" borderId="0" xfId="0" applyNumberFormat="1" applyFill="1"/>
    <xf numFmtId="0" fontId="7" fillId="5" borderId="0" xfId="0" applyFont="1" applyFill="1" applyAlignment="1">
      <alignment horizontal="center"/>
    </xf>
  </cellXfs>
  <cellStyles count="2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G2" sqref="G2"/>
    </sheetView>
  </sheetViews>
  <sheetFormatPr baseColWidth="10" defaultColWidth="12.83203125" defaultRowHeight="15"/>
  <sheetData>
    <row r="1" spans="1:6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</row>
    <row r="2" spans="1:6">
      <c r="A2" s="2">
        <v>0</v>
      </c>
      <c r="B2" s="9"/>
      <c r="C2" s="9"/>
      <c r="D2" s="9"/>
      <c r="E2" s="3"/>
      <c r="F2" s="4"/>
    </row>
    <row r="3" spans="1:6">
      <c r="A3" s="1">
        <v>2</v>
      </c>
      <c r="B3" s="9">
        <v>70573.22998046875</v>
      </c>
      <c r="C3" s="9">
        <v>66674.59716796875</v>
      </c>
      <c r="D3" s="9">
        <v>60658.099365234375</v>
      </c>
      <c r="E3" s="3">
        <f t="shared" ref="E2:E15" si="0">AVERAGE(B3:D3)</f>
        <v>65968.642171223953</v>
      </c>
      <c r="F3" s="4">
        <f t="shared" ref="F2:F15" si="1">STDEV(B3:D3)</f>
        <v>4995.1209317053781</v>
      </c>
    </row>
    <row r="4" spans="1:6">
      <c r="A4" s="1">
        <v>4</v>
      </c>
      <c r="B4" s="9">
        <v>354827.2705078125</v>
      </c>
      <c r="C4" s="9">
        <v>329200.146484375</v>
      </c>
      <c r="D4" s="9">
        <v>252525.146484375</v>
      </c>
      <c r="E4" s="3">
        <f t="shared" si="0"/>
        <v>312184.18782552081</v>
      </c>
      <c r="F4" s="4">
        <f t="shared" si="1"/>
        <v>53231.459511613735</v>
      </c>
    </row>
    <row r="5" spans="1:6">
      <c r="A5" s="1">
        <v>6</v>
      </c>
      <c r="B5" s="9">
        <v>6513857.8125</v>
      </c>
      <c r="C5" s="9">
        <v>4983666.796875</v>
      </c>
      <c r="D5" s="9">
        <v>4617546.09375</v>
      </c>
      <c r="E5" s="3">
        <f t="shared" si="0"/>
        <v>5371690.234375</v>
      </c>
      <c r="F5" s="4">
        <f t="shared" si="1"/>
        <v>1005942.9281545414</v>
      </c>
    </row>
    <row r="6" spans="1:6">
      <c r="A6" s="1">
        <v>9</v>
      </c>
      <c r="B6" s="9">
        <v>36522378.125</v>
      </c>
      <c r="C6" s="9">
        <v>34967931.25</v>
      </c>
      <c r="D6" s="9">
        <v>30280865.625</v>
      </c>
      <c r="E6" s="3">
        <f t="shared" si="0"/>
        <v>33923725</v>
      </c>
      <c r="F6" s="4">
        <f t="shared" si="1"/>
        <v>3249137.5149904564</v>
      </c>
    </row>
    <row r="7" spans="1:6">
      <c r="A7" s="1">
        <v>12</v>
      </c>
      <c r="B7" s="9">
        <v>80523187.5</v>
      </c>
      <c r="C7" s="9">
        <v>88052343.75</v>
      </c>
      <c r="D7" s="9">
        <v>89047718.75</v>
      </c>
      <c r="E7" s="3">
        <f t="shared" si="0"/>
        <v>85874416.666666672</v>
      </c>
      <c r="F7" s="4">
        <f t="shared" si="1"/>
        <v>4660947.6550691137</v>
      </c>
    </row>
    <row r="8" spans="1:6">
      <c r="A8" s="1">
        <v>18</v>
      </c>
      <c r="B8" s="9">
        <v>144855675</v>
      </c>
      <c r="C8" s="9">
        <v>181279112.5</v>
      </c>
      <c r="D8" s="9">
        <v>149084537.5</v>
      </c>
      <c r="E8" s="3">
        <f t="shared" si="0"/>
        <v>158406441.66666666</v>
      </c>
      <c r="F8" s="4">
        <f t="shared" si="1"/>
        <v>19920846.437802184</v>
      </c>
    </row>
    <row r="9" spans="1:6">
      <c r="A9" s="1">
        <v>24</v>
      </c>
      <c r="B9" s="9">
        <v>134254225</v>
      </c>
      <c r="C9" s="9">
        <v>188937375</v>
      </c>
      <c r="D9" s="9">
        <v>165718100</v>
      </c>
      <c r="E9" s="3">
        <f t="shared" si="0"/>
        <v>162969900</v>
      </c>
      <c r="F9" s="4">
        <f t="shared" si="1"/>
        <v>27444966.312798128</v>
      </c>
    </row>
    <row r="10" spans="1:6">
      <c r="A10" s="1">
        <v>30</v>
      </c>
      <c r="B10" s="9">
        <v>206093287.5</v>
      </c>
      <c r="C10" s="9">
        <v>194791387.5</v>
      </c>
      <c r="D10" s="9">
        <v>213229725</v>
      </c>
      <c r="E10" s="3">
        <f t="shared" si="0"/>
        <v>204704800</v>
      </c>
      <c r="F10" s="4">
        <f t="shared" si="1"/>
        <v>9297257.4232522324</v>
      </c>
    </row>
    <row r="11" spans="1:6">
      <c r="A11" s="1">
        <v>36</v>
      </c>
      <c r="B11" s="9">
        <v>99101018.75</v>
      </c>
      <c r="C11" s="9">
        <v>145742975</v>
      </c>
      <c r="D11" s="9">
        <v>220201275</v>
      </c>
      <c r="E11" s="3">
        <f t="shared" si="0"/>
        <v>155015089.58333334</v>
      </c>
      <c r="F11" s="4">
        <f t="shared" si="1"/>
        <v>61080251.289502405</v>
      </c>
    </row>
    <row r="12" spans="1:6">
      <c r="A12" s="1">
        <v>42</v>
      </c>
      <c r="B12" s="9">
        <v>251401325</v>
      </c>
      <c r="C12" s="9">
        <v>256623175</v>
      </c>
      <c r="D12" s="9">
        <v>250184225</v>
      </c>
      <c r="E12" s="3">
        <f t="shared" si="0"/>
        <v>252736241.66666666</v>
      </c>
      <c r="F12" s="4">
        <f t="shared" si="1"/>
        <v>3420748.6250575813</v>
      </c>
    </row>
    <row r="13" spans="1:6">
      <c r="A13" s="1">
        <v>48</v>
      </c>
      <c r="B13" s="9">
        <v>202214612.5</v>
      </c>
      <c r="C13" s="9">
        <v>263470650</v>
      </c>
      <c r="D13" s="9">
        <v>364733275</v>
      </c>
      <c r="E13" s="3">
        <f t="shared" si="0"/>
        <v>276806179.16666669</v>
      </c>
      <c r="F13" s="4">
        <f t="shared" si="1"/>
        <v>82075917.106137097</v>
      </c>
    </row>
    <row r="14" spans="1:6">
      <c r="A14" s="1">
        <v>54</v>
      </c>
      <c r="B14" s="9">
        <v>362431950</v>
      </c>
      <c r="C14" s="9">
        <v>310607350</v>
      </c>
      <c r="D14" s="9">
        <v>350919200</v>
      </c>
      <c r="E14" s="3">
        <f t="shared" si="0"/>
        <v>341319500</v>
      </c>
      <c r="F14" s="4">
        <f t="shared" si="1"/>
        <v>27213286.66952046</v>
      </c>
    </row>
    <row r="15" spans="1:6">
      <c r="A15" s="1">
        <v>60</v>
      </c>
      <c r="B15" s="9">
        <v>385826175</v>
      </c>
      <c r="C15" s="9">
        <v>386869225</v>
      </c>
      <c r="D15" s="9">
        <v>426174650</v>
      </c>
      <c r="E15" s="3">
        <f t="shared" si="0"/>
        <v>399623350</v>
      </c>
      <c r="F15" s="4">
        <f t="shared" si="1"/>
        <v>23000013.849846374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I18" sqref="I18"/>
    </sheetView>
  </sheetViews>
  <sheetFormatPr baseColWidth="10" defaultColWidth="12.83203125" defaultRowHeight="15"/>
  <sheetData>
    <row r="1" spans="1:7" s="10" customFormat="1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  <c r="G2" t="s">
        <v>2</v>
      </c>
    </row>
    <row r="3" spans="1:7">
      <c r="A3" s="1">
        <v>2</v>
      </c>
      <c r="B3" s="9">
        <v>48746.905517578125</v>
      </c>
      <c r="C3" s="9">
        <v>56765.12451171875</v>
      </c>
      <c r="D3" s="9">
        <v>62145.3857421875</v>
      </c>
      <c r="E3" s="3">
        <f t="shared" ref="E3:E15" si="0">AVERAGE(B3:D3)</f>
        <v>55885.805257161461</v>
      </c>
      <c r="F3" s="4">
        <f t="shared" ref="F3:F15" si="1">STDEV(B3:D3)</f>
        <v>6742.3823568445387</v>
      </c>
    </row>
    <row r="4" spans="1:7">
      <c r="A4" s="1">
        <v>4</v>
      </c>
      <c r="B4" s="9">
        <v>87835.040283203125</v>
      </c>
      <c r="C4" s="9">
        <v>139841.88232421875</v>
      </c>
      <c r="D4" s="9">
        <v>172728.35693359375</v>
      </c>
      <c r="E4" s="3">
        <f t="shared" si="0"/>
        <v>133468.42651367188</v>
      </c>
      <c r="F4" s="4">
        <f t="shared" si="1"/>
        <v>42804.024427647193</v>
      </c>
    </row>
    <row r="5" spans="1:7">
      <c r="A5" s="1">
        <v>6</v>
      </c>
      <c r="B5" s="9">
        <v>151723.4619140625</v>
      </c>
      <c r="C5" s="9">
        <v>151864.5263671875</v>
      </c>
      <c r="D5" s="9">
        <v>207210.4736328125</v>
      </c>
      <c r="E5" s="3">
        <f t="shared" si="0"/>
        <v>170266.15397135416</v>
      </c>
      <c r="F5" s="4">
        <f t="shared" si="1"/>
        <v>31994.797096262311</v>
      </c>
    </row>
    <row r="6" spans="1:7">
      <c r="A6" s="1">
        <v>9</v>
      </c>
      <c r="B6" s="9">
        <v>244651.1962890625</v>
      </c>
      <c r="C6" s="9">
        <v>200482.763671875</v>
      </c>
      <c r="D6" s="9">
        <v>383756.298828125</v>
      </c>
      <c r="E6" s="3">
        <f t="shared" si="0"/>
        <v>276296.7529296875</v>
      </c>
      <c r="F6" s="4">
        <f t="shared" si="1"/>
        <v>95647.154236226706</v>
      </c>
    </row>
    <row r="7" spans="1:7">
      <c r="A7" s="1">
        <v>12</v>
      </c>
      <c r="B7" s="9">
        <v>182287.34130859375</v>
      </c>
      <c r="C7" s="9">
        <v>157109.11865234375</v>
      </c>
      <c r="D7" s="9">
        <v>230277.294921875</v>
      </c>
      <c r="E7" s="3">
        <f t="shared" si="0"/>
        <v>189891.25162760416</v>
      </c>
      <c r="F7" s="4">
        <f t="shared" si="1"/>
        <v>37172.033758686994</v>
      </c>
    </row>
    <row r="8" spans="1:7">
      <c r="A8" s="1">
        <v>18</v>
      </c>
      <c r="B8" s="9">
        <v>409398.779296875</v>
      </c>
      <c r="C8" s="9">
        <v>232357.8125</v>
      </c>
      <c r="D8" s="9">
        <v>366533.5693359375</v>
      </c>
      <c r="E8" s="3">
        <f t="shared" si="0"/>
        <v>336096.72037760419</v>
      </c>
      <c r="F8" s="4">
        <f t="shared" si="1"/>
        <v>92361.665814218373</v>
      </c>
    </row>
    <row r="9" spans="1:7">
      <c r="A9" s="1">
        <v>24</v>
      </c>
      <c r="B9" s="9">
        <v>49190.274047851562</v>
      </c>
      <c r="C9" s="9">
        <v>61112.5244140625</v>
      </c>
      <c r="D9" s="9">
        <v>71631.060791015625</v>
      </c>
      <c r="E9" s="3">
        <f t="shared" si="0"/>
        <v>60644.619750976562</v>
      </c>
      <c r="F9" s="4">
        <f t="shared" si="1"/>
        <v>11227.708069474651</v>
      </c>
    </row>
    <row r="10" spans="1:7">
      <c r="A10" s="1">
        <v>30</v>
      </c>
      <c r="B10" s="9">
        <v>208914.990234375</v>
      </c>
      <c r="C10" s="9">
        <v>191292.6513671875</v>
      </c>
      <c r="D10" s="9">
        <v>190085.3759765625</v>
      </c>
      <c r="E10" s="3">
        <f t="shared" si="0"/>
        <v>196764.33919270834</v>
      </c>
      <c r="F10" s="4">
        <f t="shared" si="1"/>
        <v>10540.072059500761</v>
      </c>
    </row>
    <row r="11" spans="1:7">
      <c r="A11" s="1">
        <v>36</v>
      </c>
      <c r="B11" s="9">
        <v>83899.27978515625</v>
      </c>
      <c r="C11" s="9">
        <v>98924.468994140625</v>
      </c>
      <c r="D11" s="9">
        <v>137773.88916015625</v>
      </c>
      <c r="E11" s="3">
        <f t="shared" si="0"/>
        <v>106865.87931315105</v>
      </c>
      <c r="F11" s="4">
        <f t="shared" si="1"/>
        <v>27801.400724035007</v>
      </c>
    </row>
    <row r="12" spans="1:7">
      <c r="A12" s="1">
        <v>42</v>
      </c>
      <c r="B12" s="9">
        <v>94290.31982421875</v>
      </c>
      <c r="C12" s="9">
        <v>107260.8154296875</v>
      </c>
      <c r="D12" s="9">
        <v>138070.8251953125</v>
      </c>
      <c r="E12" s="3">
        <f t="shared" si="0"/>
        <v>113207.32014973958</v>
      </c>
      <c r="F12" s="4">
        <f t="shared" si="1"/>
        <v>22487.860089975045</v>
      </c>
    </row>
    <row r="13" spans="1:7">
      <c r="A13" s="1">
        <v>48</v>
      </c>
      <c r="B13" s="9">
        <v>148695.7763671875</v>
      </c>
      <c r="C13" s="9">
        <v>138268.29833984375</v>
      </c>
      <c r="D13" s="9">
        <v>132607.38525390625</v>
      </c>
      <c r="E13" s="3">
        <f t="shared" si="0"/>
        <v>139857.1533203125</v>
      </c>
      <c r="F13" s="4">
        <f t="shared" si="1"/>
        <v>8161.0310172916897</v>
      </c>
    </row>
    <row r="14" spans="1:7">
      <c r="A14" s="1">
        <v>54</v>
      </c>
      <c r="B14" s="9">
        <v>161717.73681640625</v>
      </c>
      <c r="C14" s="9">
        <v>139705.7861328125</v>
      </c>
      <c r="D14" s="9">
        <v>180783.59375</v>
      </c>
      <c r="E14" s="3">
        <f t="shared" si="0"/>
        <v>160735.70556640625</v>
      </c>
      <c r="F14" s="4">
        <f t="shared" si="1"/>
        <v>20556.50404836997</v>
      </c>
    </row>
    <row r="15" spans="1:7">
      <c r="A15" s="1">
        <v>60</v>
      </c>
      <c r="B15" s="9">
        <v>144540.6494140625</v>
      </c>
      <c r="C15" s="9">
        <v>172816.51611328125</v>
      </c>
      <c r="D15" s="9">
        <v>174749.609375</v>
      </c>
      <c r="E15" s="3">
        <f t="shared" si="0"/>
        <v>164035.59163411459</v>
      </c>
      <c r="F15" s="4">
        <f t="shared" si="1"/>
        <v>16910.759637343395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zoomScalePageLayoutView="75" workbookViewId="0">
      <selection activeCell="K28" sqref="K28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</row>
    <row r="3" spans="1:7">
      <c r="A3" s="1">
        <v>2</v>
      </c>
      <c r="B3" s="9">
        <v>70573.22998046875</v>
      </c>
      <c r="C3" s="9">
        <v>66674.59716796875</v>
      </c>
      <c r="D3" s="9">
        <v>60658.099365234375</v>
      </c>
      <c r="E3" s="3">
        <f t="shared" ref="E3:E18" si="0">AVERAGE(B3:D3)</f>
        <v>65968.642171223953</v>
      </c>
      <c r="F3" s="4">
        <f t="shared" ref="F3:F18" si="1">STDEV(B3:D3)</f>
        <v>4995.1209317053781</v>
      </c>
    </row>
    <row r="4" spans="1:7">
      <c r="A4" s="1">
        <v>4</v>
      </c>
      <c r="B4" s="9">
        <v>354827.2705078125</v>
      </c>
      <c r="C4" s="9">
        <v>329200.146484375</v>
      </c>
      <c r="D4" s="9">
        <v>252525.146484375</v>
      </c>
      <c r="E4" s="3">
        <f t="shared" si="0"/>
        <v>312184.18782552081</v>
      </c>
      <c r="F4" s="4">
        <f t="shared" si="1"/>
        <v>53231.459511613735</v>
      </c>
    </row>
    <row r="5" spans="1:7">
      <c r="A5" s="1">
        <v>6</v>
      </c>
      <c r="B5" s="9">
        <v>6513857.8125</v>
      </c>
      <c r="C5" s="9">
        <v>4983666.796875</v>
      </c>
      <c r="D5" s="9">
        <v>4617546.09375</v>
      </c>
      <c r="E5" s="3">
        <f t="shared" si="0"/>
        <v>5371690.234375</v>
      </c>
      <c r="F5" s="4">
        <f t="shared" si="1"/>
        <v>1005942.9281545414</v>
      </c>
    </row>
    <row r="6" spans="1:7">
      <c r="A6" s="1">
        <v>9</v>
      </c>
      <c r="B6" s="9">
        <v>36522378.125</v>
      </c>
      <c r="C6" s="9">
        <v>34967931.25</v>
      </c>
      <c r="D6" s="9">
        <v>30280865.625</v>
      </c>
      <c r="E6" s="3">
        <f t="shared" si="0"/>
        <v>33923725</v>
      </c>
      <c r="F6" s="4">
        <f t="shared" si="1"/>
        <v>3249137.5149904564</v>
      </c>
    </row>
    <row r="7" spans="1:7">
      <c r="A7" s="1">
        <v>12</v>
      </c>
      <c r="B7" s="9">
        <v>80523187.5</v>
      </c>
      <c r="C7" s="9">
        <v>88052343.75</v>
      </c>
      <c r="D7" s="9">
        <v>89047718.75</v>
      </c>
      <c r="E7" s="3">
        <f t="shared" si="0"/>
        <v>85874416.666666672</v>
      </c>
      <c r="F7" s="4">
        <f t="shared" si="1"/>
        <v>4660947.6550691137</v>
      </c>
    </row>
    <row r="8" spans="1:7">
      <c r="A8" s="1">
        <v>18</v>
      </c>
      <c r="B8" s="9">
        <v>144855675</v>
      </c>
      <c r="C8" s="9">
        <v>181279112.5</v>
      </c>
      <c r="D8" s="9">
        <v>149084537.5</v>
      </c>
      <c r="E8" s="3">
        <f t="shared" si="0"/>
        <v>158406441.66666666</v>
      </c>
      <c r="F8" s="4">
        <f t="shared" si="1"/>
        <v>19920846.437802184</v>
      </c>
    </row>
    <row r="9" spans="1:7">
      <c r="A9" s="1">
        <v>24</v>
      </c>
      <c r="B9" s="9">
        <v>134254225</v>
      </c>
      <c r="C9" s="9">
        <v>188937375</v>
      </c>
      <c r="D9" s="9">
        <v>165718100</v>
      </c>
      <c r="E9" s="3">
        <f t="shared" si="0"/>
        <v>162969900</v>
      </c>
      <c r="F9" s="4">
        <f t="shared" si="1"/>
        <v>27444966.312798128</v>
      </c>
    </row>
    <row r="10" spans="1:7">
      <c r="A10" s="5">
        <v>30</v>
      </c>
      <c r="B10" s="14">
        <v>168848787.5</v>
      </c>
      <c r="C10" s="14">
        <v>166647425</v>
      </c>
      <c r="D10" s="14">
        <v>168399237.5</v>
      </c>
      <c r="E10" s="6">
        <f t="shared" si="0"/>
        <v>167965150</v>
      </c>
      <c r="F10" s="6">
        <f t="shared" si="1"/>
        <v>1163109.273604054</v>
      </c>
      <c r="G10" t="s">
        <v>2</v>
      </c>
    </row>
    <row r="11" spans="1:7">
      <c r="A11" s="1">
        <v>32</v>
      </c>
      <c r="B11" s="9">
        <v>98839325</v>
      </c>
      <c r="C11" s="9">
        <v>94669406.25</v>
      </c>
      <c r="D11" s="9">
        <v>104655168.75</v>
      </c>
      <c r="E11" s="3">
        <f t="shared" si="0"/>
        <v>99387966.666666672</v>
      </c>
      <c r="F11" s="4">
        <f t="shared" si="1"/>
        <v>5015438.060170183</v>
      </c>
    </row>
    <row r="12" spans="1:7">
      <c r="A12" s="1">
        <v>34</v>
      </c>
      <c r="B12" s="9">
        <v>97461768.75</v>
      </c>
      <c r="C12" s="9">
        <v>104111806.25</v>
      </c>
      <c r="D12" s="9">
        <v>109696087.5</v>
      </c>
      <c r="E12" s="3">
        <f t="shared" si="0"/>
        <v>103756554.16666667</v>
      </c>
      <c r="F12" s="4">
        <f t="shared" si="1"/>
        <v>6124891.1705584535</v>
      </c>
    </row>
    <row r="13" spans="1:7">
      <c r="A13" s="1">
        <v>36</v>
      </c>
      <c r="B13" s="9">
        <v>81250568.75</v>
      </c>
      <c r="C13" s="9">
        <v>82727856.25</v>
      </c>
      <c r="D13" s="9">
        <v>99798187.5</v>
      </c>
      <c r="E13" s="3">
        <f t="shared" si="0"/>
        <v>87925537.5</v>
      </c>
      <c r="F13" s="4">
        <f t="shared" si="1"/>
        <v>10308513.865067508</v>
      </c>
    </row>
    <row r="14" spans="1:7">
      <c r="A14" s="1">
        <v>39</v>
      </c>
      <c r="B14" s="9">
        <v>76350406.25</v>
      </c>
      <c r="C14" s="9">
        <v>74702993.75</v>
      </c>
      <c r="D14" s="9">
        <v>83101181.25</v>
      </c>
      <c r="E14" s="3">
        <f t="shared" si="0"/>
        <v>78051527.083333328</v>
      </c>
      <c r="F14" s="4">
        <f t="shared" si="1"/>
        <v>4450027.7963726912</v>
      </c>
    </row>
    <row r="15" spans="1:7">
      <c r="A15" s="1">
        <v>42</v>
      </c>
      <c r="B15" s="9">
        <v>92714637.5</v>
      </c>
      <c r="C15" s="9">
        <v>77115956.25</v>
      </c>
      <c r="D15" s="9">
        <v>68628112.5</v>
      </c>
      <c r="E15" s="3">
        <f t="shared" si="0"/>
        <v>79486235.416666672</v>
      </c>
      <c r="F15" s="4">
        <f t="shared" si="1"/>
        <v>12216948.847394589</v>
      </c>
    </row>
    <row r="16" spans="1:7">
      <c r="A16" s="1">
        <v>48</v>
      </c>
      <c r="B16" s="9">
        <v>55034150</v>
      </c>
      <c r="C16" s="9">
        <v>61912731.25</v>
      </c>
      <c r="D16" s="9">
        <v>51535759.375</v>
      </c>
      <c r="E16" s="3">
        <f t="shared" si="0"/>
        <v>56160880.208333336</v>
      </c>
      <c r="F16" s="4">
        <f t="shared" si="1"/>
        <v>5279443.8197042514</v>
      </c>
    </row>
    <row r="17" spans="1:6">
      <c r="A17" s="1">
        <v>54</v>
      </c>
      <c r="B17" s="9">
        <v>33654084.375</v>
      </c>
      <c r="C17" s="9">
        <v>38954212.5</v>
      </c>
      <c r="D17" s="9">
        <v>35961746.875</v>
      </c>
      <c r="E17" s="3">
        <f t="shared" si="0"/>
        <v>36190014.583333336</v>
      </c>
      <c r="F17" s="4">
        <f t="shared" si="1"/>
        <v>2657427.1665193043</v>
      </c>
    </row>
    <row r="18" spans="1:6">
      <c r="A18" s="1">
        <v>60</v>
      </c>
      <c r="B18" s="9">
        <v>26341940.625</v>
      </c>
      <c r="C18" s="9">
        <v>23829601.5625</v>
      </c>
      <c r="D18" s="9">
        <v>20654700</v>
      </c>
      <c r="E18" s="3">
        <f t="shared" si="0"/>
        <v>23608747.395833332</v>
      </c>
      <c r="F18" s="4">
        <f t="shared" si="1"/>
        <v>2850045.4213684243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zoomScaleNormal="100" zoomScalePageLayoutView="150" workbookViewId="0">
      <selection activeCell="G2" sqref="G2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</row>
    <row r="3" spans="1:7">
      <c r="A3" s="1">
        <v>2</v>
      </c>
      <c r="B3" s="9">
        <v>70573.22998046875</v>
      </c>
      <c r="C3" s="9">
        <v>66674.59716796875</v>
      </c>
      <c r="D3" s="9">
        <v>60658.099365234375</v>
      </c>
      <c r="E3" s="3">
        <f t="shared" ref="E2:E18" si="0">AVERAGE(B3:D3)</f>
        <v>65968.642171223953</v>
      </c>
      <c r="F3" s="4">
        <f t="shared" ref="F2:F18" si="1">STDEV(B3:D3)</f>
        <v>4995.1209317053781</v>
      </c>
    </row>
    <row r="4" spans="1:7">
      <c r="A4" s="1">
        <v>4</v>
      </c>
      <c r="B4" s="9">
        <v>354827.2705078125</v>
      </c>
      <c r="C4" s="9">
        <v>329200.146484375</v>
      </c>
      <c r="D4" s="9">
        <v>252525.146484375</v>
      </c>
      <c r="E4" s="3">
        <f t="shared" si="0"/>
        <v>312184.18782552081</v>
      </c>
      <c r="F4" s="4">
        <f t="shared" si="1"/>
        <v>53231.459511613735</v>
      </c>
    </row>
    <row r="5" spans="1:7">
      <c r="A5" s="1">
        <v>6</v>
      </c>
      <c r="B5" s="9">
        <v>6513857.8125</v>
      </c>
      <c r="C5" s="9">
        <v>4983666.796875</v>
      </c>
      <c r="D5" s="9">
        <v>4617546.09375</v>
      </c>
      <c r="E5" s="3">
        <f t="shared" si="0"/>
        <v>5371690.234375</v>
      </c>
      <c r="F5" s="4">
        <f t="shared" si="1"/>
        <v>1005942.9281545414</v>
      </c>
    </row>
    <row r="6" spans="1:7">
      <c r="A6" s="1">
        <v>9</v>
      </c>
      <c r="B6" s="9">
        <v>36522378.125</v>
      </c>
      <c r="C6" s="9">
        <v>34967931.25</v>
      </c>
      <c r="D6" s="9">
        <v>30280865.625</v>
      </c>
      <c r="E6" s="3">
        <f t="shared" si="0"/>
        <v>33923725</v>
      </c>
      <c r="F6" s="4">
        <f t="shared" si="1"/>
        <v>3249137.5149904564</v>
      </c>
    </row>
    <row r="7" spans="1:7">
      <c r="A7" s="1">
        <v>12</v>
      </c>
      <c r="B7" s="9">
        <v>80523187.5</v>
      </c>
      <c r="C7" s="9">
        <v>88052343.75</v>
      </c>
      <c r="D7" s="9">
        <v>89047718.75</v>
      </c>
      <c r="E7" s="3">
        <f t="shared" si="0"/>
        <v>85874416.666666672</v>
      </c>
      <c r="F7" s="4">
        <f t="shared" si="1"/>
        <v>4660947.6550691137</v>
      </c>
    </row>
    <row r="8" spans="1:7">
      <c r="A8" s="1">
        <v>18</v>
      </c>
      <c r="B8" s="9">
        <v>144855675</v>
      </c>
      <c r="C8" s="9">
        <v>181279112.5</v>
      </c>
      <c r="D8" s="9">
        <v>149084537.5</v>
      </c>
      <c r="E8" s="3">
        <f t="shared" si="0"/>
        <v>158406441.66666666</v>
      </c>
      <c r="F8" s="4">
        <f t="shared" si="1"/>
        <v>19920846.437802184</v>
      </c>
    </row>
    <row r="9" spans="1:7">
      <c r="A9" s="1">
        <v>24</v>
      </c>
      <c r="B9" s="9">
        <v>134254225</v>
      </c>
      <c r="C9" s="9">
        <v>188937375</v>
      </c>
      <c r="D9" s="9">
        <v>165718100</v>
      </c>
      <c r="E9" s="3">
        <f t="shared" si="0"/>
        <v>162969900</v>
      </c>
      <c r="F9" s="4">
        <f t="shared" si="1"/>
        <v>27444966.312798128</v>
      </c>
    </row>
    <row r="10" spans="1:7">
      <c r="A10" s="5">
        <v>30</v>
      </c>
      <c r="B10" s="14">
        <v>168848787.5</v>
      </c>
      <c r="C10" s="14">
        <v>166647425</v>
      </c>
      <c r="D10" s="14">
        <v>168399237.5</v>
      </c>
      <c r="E10" s="6">
        <f t="shared" si="0"/>
        <v>167965150</v>
      </c>
      <c r="F10" s="6">
        <f t="shared" si="1"/>
        <v>1163109.273604054</v>
      </c>
      <c r="G10" t="s">
        <v>3</v>
      </c>
    </row>
    <row r="11" spans="1:7">
      <c r="A11" s="1">
        <v>32</v>
      </c>
      <c r="B11" s="9">
        <v>98492400</v>
      </c>
      <c r="C11" s="9">
        <v>106579637.5</v>
      </c>
      <c r="D11" s="9">
        <v>134558987.5</v>
      </c>
      <c r="E11" s="3">
        <f t="shared" si="0"/>
        <v>113210341.66666667</v>
      </c>
      <c r="F11" s="4">
        <f t="shared" si="1"/>
        <v>18925495.020822465</v>
      </c>
    </row>
    <row r="12" spans="1:7">
      <c r="A12" s="1">
        <v>34</v>
      </c>
      <c r="B12" s="9">
        <v>120272025</v>
      </c>
      <c r="C12" s="9">
        <v>122768687.5</v>
      </c>
      <c r="D12" s="9">
        <v>131078337.5</v>
      </c>
      <c r="E12" s="3">
        <f t="shared" si="0"/>
        <v>124706350</v>
      </c>
      <c r="F12" s="4">
        <f t="shared" si="1"/>
        <v>5657738.0139808301</v>
      </c>
    </row>
    <row r="13" spans="1:7">
      <c r="A13" s="1">
        <v>36</v>
      </c>
      <c r="B13" s="9">
        <v>108234062.5</v>
      </c>
      <c r="C13" s="9">
        <v>104565981.25</v>
      </c>
      <c r="D13" s="9">
        <v>98510131.25</v>
      </c>
      <c r="E13" s="3">
        <f t="shared" si="0"/>
        <v>103770058.33333333</v>
      </c>
      <c r="F13" s="4">
        <f t="shared" si="1"/>
        <v>4910583.4384152377</v>
      </c>
    </row>
    <row r="14" spans="1:7">
      <c r="A14" s="1">
        <v>39</v>
      </c>
      <c r="B14" s="9">
        <v>90975875</v>
      </c>
      <c r="C14" s="9">
        <v>94621406.25</v>
      </c>
      <c r="D14" s="9">
        <v>95107143.75</v>
      </c>
      <c r="E14" s="3">
        <f t="shared" si="0"/>
        <v>93568141.666666672</v>
      </c>
      <c r="F14" s="4">
        <f t="shared" si="1"/>
        <v>2258067.7764539965</v>
      </c>
    </row>
    <row r="15" spans="1:7">
      <c r="A15" s="1">
        <v>42</v>
      </c>
      <c r="B15" s="9">
        <v>123494862.5</v>
      </c>
      <c r="C15" s="9">
        <v>96185031.25</v>
      </c>
      <c r="D15" s="9">
        <v>131391975</v>
      </c>
      <c r="E15" s="3">
        <f t="shared" si="0"/>
        <v>117023956.25</v>
      </c>
      <c r="F15" s="4">
        <f t="shared" si="1"/>
        <v>18473946.325193543</v>
      </c>
    </row>
    <row r="16" spans="1:7">
      <c r="A16" s="1">
        <v>48</v>
      </c>
      <c r="B16" s="9">
        <v>56365468.75</v>
      </c>
      <c r="C16" s="9">
        <v>62156731.25</v>
      </c>
      <c r="D16" s="9">
        <v>86036387.5</v>
      </c>
      <c r="E16" s="3">
        <f t="shared" si="0"/>
        <v>68186195.833333328</v>
      </c>
      <c r="F16" s="4">
        <f t="shared" si="1"/>
        <v>15727577.284455702</v>
      </c>
    </row>
    <row r="17" spans="1:6">
      <c r="A17" s="1">
        <v>54</v>
      </c>
      <c r="B17" s="9">
        <v>48869959.375</v>
      </c>
      <c r="C17" s="9">
        <v>47380906.25</v>
      </c>
      <c r="D17" s="9">
        <v>54073950</v>
      </c>
      <c r="E17" s="3">
        <f t="shared" si="0"/>
        <v>50108271.875</v>
      </c>
      <c r="F17" s="4">
        <f t="shared" si="1"/>
        <v>3514153.1050305283</v>
      </c>
    </row>
    <row r="18" spans="1:6">
      <c r="A18" s="1">
        <v>60</v>
      </c>
      <c r="B18" s="9">
        <v>62711281.25</v>
      </c>
      <c r="C18" s="9">
        <v>46393031.25</v>
      </c>
      <c r="D18" s="9">
        <v>63401187.5</v>
      </c>
      <c r="E18" s="3">
        <f t="shared" si="0"/>
        <v>57501833.333333336</v>
      </c>
      <c r="F18" s="4">
        <f t="shared" si="1"/>
        <v>9626687.1484145578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J16" sqref="J16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  <c r="G2" t="s">
        <v>2</v>
      </c>
    </row>
    <row r="3" spans="1:7">
      <c r="A3" s="1">
        <v>2</v>
      </c>
      <c r="B3" s="9">
        <v>48746.905517578125</v>
      </c>
      <c r="C3" s="9">
        <v>56765.12451171875</v>
      </c>
      <c r="D3" s="9">
        <v>62145.3857421875</v>
      </c>
      <c r="E3" s="3">
        <f t="shared" ref="E2:E18" si="0">AVERAGE(B3:D3)</f>
        <v>55885.805257161461</v>
      </c>
      <c r="F3" s="4">
        <f t="shared" ref="F2:F18" si="1">STDEV(B3:D3)</f>
        <v>6742.3823568445387</v>
      </c>
    </row>
    <row r="4" spans="1:7">
      <c r="A4" s="1">
        <v>4</v>
      </c>
      <c r="B4" s="9">
        <v>87835.040283203125</v>
      </c>
      <c r="C4" s="9">
        <v>139841.88232421875</v>
      </c>
      <c r="D4" s="9">
        <v>172728.35693359375</v>
      </c>
      <c r="E4" s="3">
        <f t="shared" si="0"/>
        <v>133468.42651367188</v>
      </c>
      <c r="F4" s="4">
        <f t="shared" si="1"/>
        <v>42804.024427647193</v>
      </c>
    </row>
    <row r="5" spans="1:7">
      <c r="A5" s="1">
        <v>6</v>
      </c>
      <c r="B5" s="9">
        <v>151723.4619140625</v>
      </c>
      <c r="C5" s="9">
        <v>151864.5263671875</v>
      </c>
      <c r="D5" s="9">
        <v>207210.4736328125</v>
      </c>
      <c r="E5" s="3">
        <f t="shared" si="0"/>
        <v>170266.15397135416</v>
      </c>
      <c r="F5" s="4">
        <f t="shared" si="1"/>
        <v>31994.797096262311</v>
      </c>
    </row>
    <row r="6" spans="1:7">
      <c r="A6" s="1">
        <v>9</v>
      </c>
      <c r="B6" s="9">
        <v>244651.1962890625</v>
      </c>
      <c r="C6" s="9">
        <v>200482.763671875</v>
      </c>
      <c r="D6" s="9">
        <v>383756.298828125</v>
      </c>
      <c r="E6" s="3">
        <f t="shared" si="0"/>
        <v>276296.7529296875</v>
      </c>
      <c r="F6" s="4">
        <f t="shared" si="1"/>
        <v>95647.154236226706</v>
      </c>
    </row>
    <row r="7" spans="1:7">
      <c r="A7" s="1">
        <v>12</v>
      </c>
      <c r="B7" s="9">
        <v>182287.34130859375</v>
      </c>
      <c r="C7" s="9">
        <v>157109.11865234375</v>
      </c>
      <c r="D7" s="9">
        <v>230277.294921875</v>
      </c>
      <c r="E7" s="3">
        <f t="shared" si="0"/>
        <v>189891.25162760416</v>
      </c>
      <c r="F7" s="4">
        <f t="shared" si="1"/>
        <v>37172.033758686994</v>
      </c>
    </row>
    <row r="8" spans="1:7">
      <c r="A8" s="1">
        <v>18</v>
      </c>
      <c r="B8" s="9">
        <v>409398.779296875</v>
      </c>
      <c r="C8" s="9">
        <v>232357.8125</v>
      </c>
      <c r="D8" s="9">
        <v>366533.5693359375</v>
      </c>
      <c r="E8" s="3">
        <f t="shared" si="0"/>
        <v>336096.72037760419</v>
      </c>
      <c r="F8" s="4">
        <f t="shared" si="1"/>
        <v>92361.665814218373</v>
      </c>
    </row>
    <row r="9" spans="1:7">
      <c r="A9" s="1">
        <v>24</v>
      </c>
      <c r="B9" s="9">
        <v>49190.274047851562</v>
      </c>
      <c r="C9" s="9">
        <v>61112.5244140625</v>
      </c>
      <c r="D9" s="9">
        <v>71631.060791015625</v>
      </c>
      <c r="E9" s="3">
        <f t="shared" si="0"/>
        <v>60644.619750976562</v>
      </c>
      <c r="F9" s="4">
        <f t="shared" si="1"/>
        <v>11227.708069474651</v>
      </c>
    </row>
    <row r="10" spans="1:7">
      <c r="A10" s="5">
        <v>30</v>
      </c>
      <c r="B10" s="14">
        <v>257193.896484375</v>
      </c>
      <c r="C10" s="14">
        <v>291079.150390625</v>
      </c>
      <c r="D10" s="14">
        <v>248175.537109375</v>
      </c>
      <c r="E10" s="6">
        <f t="shared" si="0"/>
        <v>265482.861328125</v>
      </c>
      <c r="F10" s="6">
        <f t="shared" si="1"/>
        <v>22621.012616203887</v>
      </c>
      <c r="G10" t="s">
        <v>4</v>
      </c>
    </row>
    <row r="11" spans="1:7">
      <c r="A11" s="1">
        <v>32</v>
      </c>
      <c r="B11" s="9">
        <v>246498.1689453125</v>
      </c>
      <c r="C11" s="9">
        <v>252298.0712890625</v>
      </c>
      <c r="D11" s="9">
        <v>259391.3330078125</v>
      </c>
      <c r="E11" s="3">
        <f t="shared" si="0"/>
        <v>252729.19108072916</v>
      </c>
      <c r="F11" s="4">
        <f t="shared" si="1"/>
        <v>6457.3847718492352</v>
      </c>
    </row>
    <row r="12" spans="1:7">
      <c r="A12" s="1">
        <v>34</v>
      </c>
      <c r="B12" s="9">
        <v>290912.890625</v>
      </c>
      <c r="C12" s="9">
        <v>334390.673828125</v>
      </c>
      <c r="D12" s="9">
        <v>243879.4677734375</v>
      </c>
      <c r="E12" s="3">
        <f t="shared" si="0"/>
        <v>289727.67740885419</v>
      </c>
      <c r="F12" s="4">
        <f t="shared" si="1"/>
        <v>45267.241501380471</v>
      </c>
    </row>
    <row r="13" spans="1:7">
      <c r="A13" s="1">
        <v>36</v>
      </c>
      <c r="B13" s="9">
        <v>208708.69140625</v>
      </c>
      <c r="C13" s="9">
        <v>196733.06884765625</v>
      </c>
      <c r="D13" s="9">
        <v>191963.037109375</v>
      </c>
      <c r="E13" s="3">
        <f t="shared" si="0"/>
        <v>199134.93245442709</v>
      </c>
      <c r="F13" s="4">
        <f t="shared" si="1"/>
        <v>8627.337135336702</v>
      </c>
    </row>
    <row r="14" spans="1:7">
      <c r="A14" s="1">
        <v>39</v>
      </c>
      <c r="B14" s="9">
        <v>466017.08984375</v>
      </c>
      <c r="C14" s="9">
        <v>196693.10302734375</v>
      </c>
      <c r="D14" s="9">
        <v>338104.8828125</v>
      </c>
      <c r="E14" s="3">
        <f t="shared" si="0"/>
        <v>333605.02522786456</v>
      </c>
      <c r="F14" s="4">
        <f t="shared" si="1"/>
        <v>134718.36922774283</v>
      </c>
    </row>
    <row r="15" spans="1:7">
      <c r="A15" s="1">
        <v>42</v>
      </c>
      <c r="B15" s="9">
        <v>409087.98828125</v>
      </c>
      <c r="C15" s="9">
        <v>610225.09765625</v>
      </c>
      <c r="D15" s="9">
        <v>580877.9296875</v>
      </c>
      <c r="E15" s="3">
        <f t="shared" si="0"/>
        <v>533397.00520833337</v>
      </c>
      <c r="F15" s="4">
        <f t="shared" si="1"/>
        <v>108650.18561410735</v>
      </c>
    </row>
    <row r="16" spans="1:7">
      <c r="A16" s="1">
        <v>48</v>
      </c>
      <c r="B16" s="9">
        <v>356710.986328125</v>
      </c>
      <c r="C16" s="9">
        <v>210040.0146484375</v>
      </c>
      <c r="D16" s="9">
        <v>654079.1015625</v>
      </c>
      <c r="E16" s="3">
        <f t="shared" si="0"/>
        <v>406943.36751302081</v>
      </c>
      <c r="F16" s="4">
        <f t="shared" si="1"/>
        <v>226241.3462798016</v>
      </c>
    </row>
    <row r="17" spans="1:6">
      <c r="A17" s="1">
        <v>54</v>
      </c>
      <c r="B17" s="9">
        <v>551800.634765625</v>
      </c>
      <c r="C17" s="9">
        <v>558585.64453125</v>
      </c>
      <c r="D17" s="9">
        <v>869734.1796875</v>
      </c>
      <c r="E17" s="3">
        <f t="shared" si="0"/>
        <v>660040.15299479163</v>
      </c>
      <c r="F17" s="4">
        <f t="shared" si="1"/>
        <v>181632.03933318501</v>
      </c>
    </row>
    <row r="18" spans="1:6">
      <c r="A18" s="1">
        <v>60</v>
      </c>
      <c r="B18" s="9">
        <v>369473.7548828125</v>
      </c>
      <c r="C18" s="9">
        <v>569850.537109375</v>
      </c>
      <c r="D18" s="9">
        <v>359279.98046875</v>
      </c>
      <c r="E18" s="3">
        <f t="shared" si="0"/>
        <v>432868.0908203125</v>
      </c>
      <c r="F18" s="4">
        <f t="shared" si="1"/>
        <v>118739.72040856052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selection activeCell="H13" sqref="H13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</row>
    <row r="3" spans="1:7">
      <c r="A3" s="1">
        <v>2</v>
      </c>
      <c r="B3" s="9">
        <v>35286.614990234375</v>
      </c>
      <c r="C3" s="9">
        <v>33337.298583984375</v>
      </c>
      <c r="D3" s="9">
        <v>30329.049682617188</v>
      </c>
      <c r="E3" s="3">
        <f t="shared" ref="E2:E22" si="0">AVERAGE(B3:D3)</f>
        <v>32984.321085611977</v>
      </c>
      <c r="F3" s="4">
        <f t="shared" ref="F2:F22" si="1">STDEV(B3:D3)</f>
        <v>2497.560465852689</v>
      </c>
    </row>
    <row r="4" spans="1:7">
      <c r="A4" s="1">
        <v>4</v>
      </c>
      <c r="B4" s="9">
        <v>177413.63525390625</v>
      </c>
      <c r="C4" s="9">
        <v>164600.0732421875</v>
      </c>
      <c r="D4" s="9">
        <v>126262.5732421875</v>
      </c>
      <c r="E4" s="3">
        <f t="shared" si="0"/>
        <v>156092.09391276041</v>
      </c>
      <c r="F4" s="4">
        <f t="shared" si="1"/>
        <v>26615.729755806868</v>
      </c>
    </row>
    <row r="5" spans="1:7">
      <c r="A5" s="1">
        <v>6</v>
      </c>
      <c r="B5" s="9">
        <v>3256928.90625</v>
      </c>
      <c r="C5" s="9">
        <v>2491833.3984375</v>
      </c>
      <c r="D5" s="9">
        <v>2308773.046875</v>
      </c>
      <c r="E5" s="3">
        <f t="shared" si="0"/>
        <v>2685845.1171875</v>
      </c>
      <c r="F5" s="4">
        <f t="shared" si="1"/>
        <v>502971.46407727071</v>
      </c>
    </row>
    <row r="6" spans="1:7">
      <c r="A6" s="1">
        <v>9</v>
      </c>
      <c r="B6" s="9">
        <v>18261189.0625</v>
      </c>
      <c r="C6" s="9">
        <v>17483965.625</v>
      </c>
      <c r="D6" s="9">
        <v>15140432.8125</v>
      </c>
      <c r="E6" s="3">
        <f t="shared" si="0"/>
        <v>16961862.5</v>
      </c>
      <c r="F6" s="4">
        <f t="shared" si="1"/>
        <v>1624568.7574952282</v>
      </c>
    </row>
    <row r="7" spans="1:7">
      <c r="A7" s="1">
        <v>12</v>
      </c>
      <c r="B7" s="9">
        <v>40261593.75</v>
      </c>
      <c r="C7" s="9">
        <v>44026171.875</v>
      </c>
      <c r="D7" s="9">
        <v>44523859.375</v>
      </c>
      <c r="E7" s="3">
        <f t="shared" si="0"/>
        <v>42937208.333333336</v>
      </c>
      <c r="F7" s="4">
        <f t="shared" si="1"/>
        <v>2330473.8275345569</v>
      </c>
    </row>
    <row r="8" spans="1:7">
      <c r="A8" s="1">
        <v>18</v>
      </c>
      <c r="B8" s="9">
        <v>72427837.5</v>
      </c>
      <c r="C8" s="9">
        <v>90639556.25</v>
      </c>
      <c r="D8" s="9">
        <v>74542268.75</v>
      </c>
      <c r="E8" s="3">
        <f t="shared" si="0"/>
        <v>79203220.833333328</v>
      </c>
      <c r="F8" s="4">
        <f t="shared" si="1"/>
        <v>9960423.2189010922</v>
      </c>
    </row>
    <row r="9" spans="1:7">
      <c r="A9" s="1">
        <v>24</v>
      </c>
      <c r="B9" s="9">
        <v>67127112.5</v>
      </c>
      <c r="C9" s="9">
        <v>94468687.5</v>
      </c>
      <c r="D9" s="9">
        <v>82859050</v>
      </c>
      <c r="E9" s="3">
        <f t="shared" si="0"/>
        <v>81484950</v>
      </c>
      <c r="F9" s="4">
        <f t="shared" si="1"/>
        <v>13722483.156399064</v>
      </c>
    </row>
    <row r="10" spans="1:7">
      <c r="A10" s="8">
        <v>30</v>
      </c>
      <c r="B10" s="14">
        <v>145000000</v>
      </c>
      <c r="C10" s="14">
        <v>182500000</v>
      </c>
      <c r="D10" s="14">
        <v>163250000</v>
      </c>
      <c r="E10" s="6">
        <f t="shared" si="0"/>
        <v>163583333.33333334</v>
      </c>
      <c r="F10" s="6">
        <f t="shared" si="1"/>
        <v>18752222.090550583</v>
      </c>
      <c r="G10" t="s">
        <v>2</v>
      </c>
    </row>
    <row r="11" spans="1:7">
      <c r="A11" s="1">
        <v>32</v>
      </c>
      <c r="B11" s="9">
        <v>98839325</v>
      </c>
      <c r="C11" s="9">
        <v>94669406.25</v>
      </c>
      <c r="D11" s="9">
        <v>104655168.75</v>
      </c>
      <c r="E11" s="3">
        <f t="shared" si="0"/>
        <v>99387966.666666672</v>
      </c>
      <c r="F11" s="4">
        <f t="shared" si="1"/>
        <v>5015438.060170183</v>
      </c>
    </row>
    <row r="12" spans="1:7">
      <c r="A12" s="1">
        <v>34</v>
      </c>
      <c r="B12" s="9">
        <v>97461768.75</v>
      </c>
      <c r="C12" s="9">
        <v>104111806.25</v>
      </c>
      <c r="D12" s="9">
        <v>109696087.5</v>
      </c>
      <c r="E12" s="3">
        <f t="shared" si="0"/>
        <v>103756554.16666667</v>
      </c>
      <c r="F12" s="4">
        <f t="shared" si="1"/>
        <v>6124891.1705584535</v>
      </c>
    </row>
    <row r="13" spans="1:7">
      <c r="A13" s="1">
        <v>36</v>
      </c>
      <c r="B13" s="9">
        <v>81250568.75</v>
      </c>
      <c r="C13" s="9">
        <v>82727856.25</v>
      </c>
      <c r="D13" s="9">
        <v>99798187.5</v>
      </c>
      <c r="E13" s="3">
        <f t="shared" si="0"/>
        <v>87925537.5</v>
      </c>
      <c r="F13" s="4">
        <f t="shared" si="1"/>
        <v>10308513.865067508</v>
      </c>
    </row>
    <row r="14" spans="1:7">
      <c r="A14" s="1">
        <v>39</v>
      </c>
      <c r="B14" s="9">
        <v>76350406.25</v>
      </c>
      <c r="C14" s="9">
        <v>74702993.75</v>
      </c>
      <c r="D14" s="9">
        <v>83101181.25</v>
      </c>
      <c r="E14" s="3">
        <f t="shared" si="0"/>
        <v>78051527.083333328</v>
      </c>
      <c r="F14" s="4">
        <f t="shared" si="1"/>
        <v>4450027.7963726912</v>
      </c>
    </row>
    <row r="15" spans="1:7">
      <c r="A15" s="7">
        <v>42</v>
      </c>
      <c r="B15" s="9">
        <v>83500000</v>
      </c>
      <c r="C15" s="9">
        <v>82500000</v>
      </c>
      <c r="D15" s="9">
        <v>74500000</v>
      </c>
      <c r="E15" s="3">
        <f t="shared" si="0"/>
        <v>80166666.666666672</v>
      </c>
      <c r="F15" s="4">
        <f t="shared" si="1"/>
        <v>4932882.862316248</v>
      </c>
    </row>
    <row r="16" spans="1:7">
      <c r="A16" s="8">
        <v>45</v>
      </c>
      <c r="B16" s="14">
        <v>23850000</v>
      </c>
      <c r="C16" s="14">
        <v>43250000</v>
      </c>
      <c r="D16" s="14">
        <v>66500000</v>
      </c>
      <c r="E16" s="6">
        <f t="shared" si="0"/>
        <v>44533333.333333336</v>
      </c>
      <c r="F16" s="6">
        <f t="shared" si="1"/>
        <v>21353941.868735466</v>
      </c>
      <c r="G16" t="s">
        <v>4</v>
      </c>
    </row>
    <row r="17" spans="1:6">
      <c r="A17" s="7">
        <v>47</v>
      </c>
      <c r="B17" s="9">
        <v>37000000</v>
      </c>
      <c r="C17" s="9">
        <v>37500000</v>
      </c>
      <c r="D17" s="9">
        <v>33500000</v>
      </c>
      <c r="E17" s="3">
        <f t="shared" si="0"/>
        <v>36000000</v>
      </c>
      <c r="F17" s="4">
        <f t="shared" si="1"/>
        <v>2179449.4717703369</v>
      </c>
    </row>
    <row r="18" spans="1:6">
      <c r="A18" s="7">
        <v>49</v>
      </c>
      <c r="B18" s="9">
        <v>30000000</v>
      </c>
      <c r="C18" s="9">
        <v>28750000</v>
      </c>
      <c r="D18" s="9">
        <v>30250000</v>
      </c>
      <c r="E18" s="3">
        <f t="shared" si="0"/>
        <v>29666666.666666668</v>
      </c>
      <c r="F18" s="4">
        <f t="shared" si="1"/>
        <v>803637.56341607962</v>
      </c>
    </row>
    <row r="19" spans="1:6">
      <c r="A19" s="7">
        <v>51</v>
      </c>
      <c r="B19" s="9">
        <v>49250000</v>
      </c>
      <c r="C19" s="9">
        <v>55500000</v>
      </c>
      <c r="D19" s="9">
        <v>63250000</v>
      </c>
      <c r="E19" s="3">
        <f t="shared" si="0"/>
        <v>56000000</v>
      </c>
      <c r="F19" s="4">
        <f t="shared" si="1"/>
        <v>7013380.069552769</v>
      </c>
    </row>
    <row r="20" spans="1:6">
      <c r="A20" s="7">
        <v>54</v>
      </c>
      <c r="B20" s="9">
        <v>38750000</v>
      </c>
      <c r="C20" s="9">
        <v>34750000</v>
      </c>
      <c r="D20" s="9">
        <v>29500000</v>
      </c>
      <c r="E20" s="3">
        <f t="shared" si="0"/>
        <v>34333333.333333336</v>
      </c>
      <c r="F20" s="4">
        <f t="shared" si="1"/>
        <v>4639055.2199055841</v>
      </c>
    </row>
    <row r="21" spans="1:6">
      <c r="A21" s="7">
        <v>57</v>
      </c>
      <c r="B21" s="9">
        <v>39500000</v>
      </c>
      <c r="C21" s="9">
        <v>38000000</v>
      </c>
      <c r="D21" s="9">
        <v>37000000</v>
      </c>
      <c r="E21" s="3">
        <f t="shared" si="0"/>
        <v>38166666.666666664</v>
      </c>
      <c r="F21" s="4">
        <f t="shared" si="1"/>
        <v>1258305.7392117917</v>
      </c>
    </row>
    <row r="22" spans="1:6">
      <c r="A22" s="7">
        <v>60</v>
      </c>
      <c r="B22" s="9">
        <v>30250000</v>
      </c>
      <c r="C22" s="9">
        <v>33250000</v>
      </c>
      <c r="D22" s="9">
        <v>25750000</v>
      </c>
      <c r="E22" s="3">
        <f t="shared" si="0"/>
        <v>29750000</v>
      </c>
      <c r="F22" s="4">
        <f t="shared" si="1"/>
        <v>3774917.217635375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G2" sqref="G2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</row>
    <row r="3" spans="1:7">
      <c r="A3" s="1">
        <v>2</v>
      </c>
      <c r="B3" s="9">
        <v>70573.22998046875</v>
      </c>
      <c r="C3" s="9">
        <v>66674.59716796875</v>
      </c>
      <c r="D3" s="9">
        <v>60658.099365234375</v>
      </c>
      <c r="E3" s="3">
        <f t="shared" ref="E2:E18" si="0">AVERAGE(B3:D3)</f>
        <v>65968.642171223953</v>
      </c>
      <c r="F3" s="4">
        <f t="shared" ref="F2:F18" si="1">STDEV(B3:D3)</f>
        <v>4995.1209317053781</v>
      </c>
    </row>
    <row r="4" spans="1:7">
      <c r="A4" s="1">
        <v>4</v>
      </c>
      <c r="B4" s="9">
        <v>354827.2705078125</v>
      </c>
      <c r="C4" s="9">
        <v>329200.146484375</v>
      </c>
      <c r="D4" s="9">
        <v>252525.146484375</v>
      </c>
      <c r="E4" s="3">
        <f t="shared" si="0"/>
        <v>312184.18782552081</v>
      </c>
      <c r="F4" s="4">
        <f t="shared" si="1"/>
        <v>53231.459511613735</v>
      </c>
    </row>
    <row r="5" spans="1:7">
      <c r="A5" s="1">
        <v>6</v>
      </c>
      <c r="B5" s="9">
        <v>6513857.8125</v>
      </c>
      <c r="C5" s="9">
        <v>4983666.796875</v>
      </c>
      <c r="D5" s="9">
        <v>4617546.09375</v>
      </c>
      <c r="E5" s="3">
        <f t="shared" si="0"/>
        <v>5371690.234375</v>
      </c>
      <c r="F5" s="4">
        <f t="shared" si="1"/>
        <v>1005942.9281545414</v>
      </c>
    </row>
    <row r="6" spans="1:7">
      <c r="A6" s="1">
        <v>9</v>
      </c>
      <c r="B6" s="9">
        <v>36522378.125</v>
      </c>
      <c r="C6" s="9">
        <v>34967931.25</v>
      </c>
      <c r="D6" s="9">
        <v>30280865.625</v>
      </c>
      <c r="E6" s="3">
        <f t="shared" si="0"/>
        <v>33923725</v>
      </c>
      <c r="F6" s="4">
        <f t="shared" si="1"/>
        <v>3249137.5149904564</v>
      </c>
    </row>
    <row r="7" spans="1:7">
      <c r="A7" s="1">
        <v>12</v>
      </c>
      <c r="B7" s="9">
        <v>80523187.5</v>
      </c>
      <c r="C7" s="9">
        <v>88052343.75</v>
      </c>
      <c r="D7" s="9">
        <v>89047718.75</v>
      </c>
      <c r="E7" s="3">
        <f t="shared" si="0"/>
        <v>85874416.666666672</v>
      </c>
      <c r="F7" s="4">
        <f t="shared" si="1"/>
        <v>4660947.6550691137</v>
      </c>
    </row>
    <row r="8" spans="1:7">
      <c r="A8" s="1">
        <v>18</v>
      </c>
      <c r="B8" s="9">
        <v>144855675</v>
      </c>
      <c r="C8" s="9">
        <v>181279112.5</v>
      </c>
      <c r="D8" s="9">
        <v>149084537.5</v>
      </c>
      <c r="E8" s="3">
        <f t="shared" si="0"/>
        <v>158406441.66666666</v>
      </c>
      <c r="F8" s="4">
        <f t="shared" si="1"/>
        <v>19920846.437802184</v>
      </c>
    </row>
    <row r="9" spans="1:7">
      <c r="A9" s="1">
        <v>24</v>
      </c>
      <c r="B9" s="9">
        <v>134254225</v>
      </c>
      <c r="C9" s="9">
        <v>188937375</v>
      </c>
      <c r="D9" s="9">
        <v>165718100</v>
      </c>
      <c r="E9" s="3">
        <f t="shared" si="0"/>
        <v>162969900</v>
      </c>
      <c r="F9" s="4">
        <f t="shared" si="1"/>
        <v>27444966.312798128</v>
      </c>
    </row>
    <row r="10" spans="1:7">
      <c r="A10" s="5">
        <v>30</v>
      </c>
      <c r="B10" s="14">
        <v>147250000</v>
      </c>
      <c r="C10" s="14">
        <v>145750000</v>
      </c>
      <c r="D10" s="14">
        <v>150000000</v>
      </c>
      <c r="E10" s="6">
        <f t="shared" si="0"/>
        <v>147666666.66666666</v>
      </c>
      <c r="F10" s="6">
        <f t="shared" si="1"/>
        <v>2155419.5260629272</v>
      </c>
      <c r="G10" t="s">
        <v>4</v>
      </c>
    </row>
    <row r="11" spans="1:7">
      <c r="A11" s="1">
        <v>32</v>
      </c>
      <c r="B11" s="9">
        <v>106000000</v>
      </c>
      <c r="C11" s="9">
        <v>115250000</v>
      </c>
      <c r="D11" s="9">
        <v>95000000</v>
      </c>
      <c r="E11" s="3">
        <f t="shared" si="0"/>
        <v>105416666.66666667</v>
      </c>
      <c r="F11" s="4">
        <f t="shared" si="1"/>
        <v>10137595.046821181</v>
      </c>
    </row>
    <row r="12" spans="1:7">
      <c r="A12" s="1">
        <v>34</v>
      </c>
      <c r="B12" s="9">
        <v>79500000</v>
      </c>
      <c r="C12" s="9">
        <v>84500000</v>
      </c>
      <c r="D12" s="9">
        <v>78500000</v>
      </c>
      <c r="E12" s="3">
        <f t="shared" si="0"/>
        <v>80833333.333333328</v>
      </c>
      <c r="F12" s="4">
        <f t="shared" si="1"/>
        <v>3214550.2536643185</v>
      </c>
    </row>
    <row r="13" spans="1:7">
      <c r="A13" s="1">
        <v>36</v>
      </c>
      <c r="B13" s="9">
        <v>75500000</v>
      </c>
      <c r="C13" s="9">
        <v>85000000</v>
      </c>
      <c r="D13" s="9">
        <v>96750000</v>
      </c>
      <c r="E13" s="3">
        <f t="shared" si="0"/>
        <v>85750000</v>
      </c>
      <c r="F13" s="4">
        <f t="shared" si="1"/>
        <v>10644834.428021884</v>
      </c>
    </row>
    <row r="14" spans="1:7">
      <c r="A14" s="1">
        <v>39</v>
      </c>
      <c r="B14" s="9">
        <v>85500000</v>
      </c>
      <c r="C14" s="9">
        <v>82250000</v>
      </c>
      <c r="D14" s="9">
        <v>78250000</v>
      </c>
      <c r="E14" s="3">
        <f t="shared" si="0"/>
        <v>82000000</v>
      </c>
      <c r="F14" s="4">
        <f t="shared" si="1"/>
        <v>3631459.7615834875</v>
      </c>
    </row>
    <row r="15" spans="1:7">
      <c r="A15" s="1">
        <v>42</v>
      </c>
      <c r="B15" s="9">
        <v>66750000</v>
      </c>
      <c r="C15" s="9">
        <v>72750000</v>
      </c>
      <c r="D15" s="9">
        <v>73000000</v>
      </c>
      <c r="E15" s="3">
        <f t="shared" si="0"/>
        <v>70833333.333333328</v>
      </c>
      <c r="F15" s="4">
        <f t="shared" si="1"/>
        <v>3538478.9575936906</v>
      </c>
    </row>
    <row r="16" spans="1:7">
      <c r="A16" s="1">
        <v>48</v>
      </c>
      <c r="B16" s="9">
        <v>53000000</v>
      </c>
      <c r="C16" s="9">
        <v>61500000</v>
      </c>
      <c r="D16" s="9">
        <v>54000000</v>
      </c>
      <c r="E16" s="3">
        <f t="shared" si="0"/>
        <v>56166666.666666664</v>
      </c>
      <c r="F16" s="4">
        <f t="shared" si="1"/>
        <v>4645786.6215887852</v>
      </c>
    </row>
    <row r="17" spans="1:6">
      <c r="A17" s="1">
        <v>54</v>
      </c>
      <c r="B17" s="9">
        <v>34500000</v>
      </c>
      <c r="C17" s="9">
        <v>42750000</v>
      </c>
      <c r="D17" s="9">
        <v>41500000</v>
      </c>
      <c r="E17" s="3">
        <f t="shared" si="0"/>
        <v>39583333.333333336</v>
      </c>
      <c r="F17" s="4">
        <f t="shared" si="1"/>
        <v>4446440.5239846995</v>
      </c>
    </row>
    <row r="18" spans="1:6">
      <c r="A18" s="1">
        <v>60</v>
      </c>
      <c r="B18" s="9">
        <v>35500000</v>
      </c>
      <c r="C18" s="9">
        <v>37000000</v>
      </c>
      <c r="D18" s="9">
        <v>29250000</v>
      </c>
      <c r="E18" s="3">
        <f t="shared" si="0"/>
        <v>33916666.666666664</v>
      </c>
      <c r="F18" s="4">
        <f t="shared" si="1"/>
        <v>4110454.1517128409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tabSelected="1" zoomScaleNormal="100" zoomScalePageLayoutView="75" workbookViewId="0">
      <selection activeCell="I29" sqref="I29"/>
    </sheetView>
  </sheetViews>
  <sheetFormatPr baseColWidth="10" defaultColWidth="12.83203125" defaultRowHeight="15"/>
  <sheetData>
    <row r="1" spans="1:7" ht="32">
      <c r="A1" s="13" t="s">
        <v>0</v>
      </c>
      <c r="B1" s="13" t="s">
        <v>7</v>
      </c>
      <c r="C1" s="13" t="s">
        <v>8</v>
      </c>
      <c r="D1" s="13" t="s">
        <v>9</v>
      </c>
      <c r="E1" s="11" t="s">
        <v>5</v>
      </c>
      <c r="F1" s="12" t="s">
        <v>6</v>
      </c>
      <c r="G1" s="10" t="s">
        <v>1</v>
      </c>
    </row>
    <row r="2" spans="1:7">
      <c r="A2" s="2">
        <v>0</v>
      </c>
      <c r="B2" s="9"/>
      <c r="C2" s="9"/>
      <c r="D2" s="9"/>
      <c r="E2" s="3"/>
      <c r="F2" s="4"/>
    </row>
    <row r="3" spans="1:7">
      <c r="A3" s="7">
        <v>2</v>
      </c>
      <c r="B3" s="9">
        <v>70573.22998046875</v>
      </c>
      <c r="C3" s="9">
        <v>66674.59716796875</v>
      </c>
      <c r="D3" s="9">
        <v>60658.099365234375</v>
      </c>
      <c r="E3" s="3">
        <f t="shared" ref="E2:E22" si="0">AVERAGE(B3:D3)</f>
        <v>65968.642171223953</v>
      </c>
      <c r="F3" s="4">
        <f t="shared" ref="F2:F22" si="1">STDEV(B3:D3)</f>
        <v>4995.1209317053781</v>
      </c>
    </row>
    <row r="4" spans="1:7">
      <c r="A4" s="7">
        <v>4</v>
      </c>
      <c r="B4" s="9">
        <v>354827.2705078125</v>
      </c>
      <c r="C4" s="9">
        <v>329200.146484375</v>
      </c>
      <c r="D4" s="9">
        <v>252525.146484375</v>
      </c>
      <c r="E4" s="3">
        <f t="shared" si="0"/>
        <v>312184.18782552081</v>
      </c>
      <c r="F4" s="4">
        <f t="shared" si="1"/>
        <v>53231.459511613735</v>
      </c>
    </row>
    <row r="5" spans="1:7">
      <c r="A5" s="7">
        <v>6</v>
      </c>
      <c r="B5" s="9">
        <v>6513857.8125</v>
      </c>
      <c r="C5" s="9">
        <v>4983666.796875</v>
      </c>
      <c r="D5" s="9">
        <v>4617546.09375</v>
      </c>
      <c r="E5" s="3">
        <f t="shared" si="0"/>
        <v>5371690.234375</v>
      </c>
      <c r="F5" s="4">
        <f t="shared" si="1"/>
        <v>1005942.9281545414</v>
      </c>
    </row>
    <row r="6" spans="1:7">
      <c r="A6" s="7">
        <v>9</v>
      </c>
      <c r="B6" s="9">
        <v>36522378.125</v>
      </c>
      <c r="C6" s="9">
        <v>34967931.25</v>
      </c>
      <c r="D6" s="9">
        <v>30280865.625</v>
      </c>
      <c r="E6" s="3">
        <f t="shared" si="0"/>
        <v>33923725</v>
      </c>
      <c r="F6" s="4">
        <f t="shared" si="1"/>
        <v>3249137.5149904564</v>
      </c>
    </row>
    <row r="7" spans="1:7">
      <c r="A7" s="7">
        <v>12</v>
      </c>
      <c r="B7" s="9">
        <v>80523187.5</v>
      </c>
      <c r="C7" s="9">
        <v>88052343.75</v>
      </c>
      <c r="D7" s="9">
        <v>89047718.75</v>
      </c>
      <c r="E7" s="3">
        <f t="shared" si="0"/>
        <v>85874416.666666672</v>
      </c>
      <c r="F7" s="4">
        <f t="shared" si="1"/>
        <v>4660947.6550691137</v>
      </c>
    </row>
    <row r="8" spans="1:7">
      <c r="A8" s="7">
        <v>18</v>
      </c>
      <c r="B8" s="9">
        <v>144855675</v>
      </c>
      <c r="C8" s="9">
        <v>181279112.5</v>
      </c>
      <c r="D8" s="9">
        <v>149084537.5</v>
      </c>
      <c r="E8" s="3">
        <f t="shared" si="0"/>
        <v>158406441.66666666</v>
      </c>
      <c r="F8" s="4">
        <f t="shared" si="1"/>
        <v>19920846.437802184</v>
      </c>
    </row>
    <row r="9" spans="1:7">
      <c r="A9" s="7">
        <v>24</v>
      </c>
      <c r="B9" s="9">
        <v>134254225</v>
      </c>
      <c r="C9" s="9">
        <v>188937375</v>
      </c>
      <c r="D9" s="9">
        <v>165718100</v>
      </c>
      <c r="E9" s="3">
        <f t="shared" si="0"/>
        <v>162969900</v>
      </c>
      <c r="F9" s="4">
        <f t="shared" si="1"/>
        <v>27444966.312798128</v>
      </c>
    </row>
    <row r="10" spans="1:7">
      <c r="A10" s="15">
        <v>30</v>
      </c>
      <c r="B10" s="14">
        <v>145000000</v>
      </c>
      <c r="C10" s="14">
        <v>182500000</v>
      </c>
      <c r="D10" s="14">
        <v>163250000</v>
      </c>
      <c r="E10" s="6">
        <f t="shared" si="0"/>
        <v>163583333.33333334</v>
      </c>
      <c r="F10" s="6">
        <f t="shared" si="1"/>
        <v>18752222.090550583</v>
      </c>
      <c r="G10" t="s">
        <v>3</v>
      </c>
    </row>
    <row r="11" spans="1:7">
      <c r="A11" s="7">
        <v>32</v>
      </c>
      <c r="B11" s="9">
        <v>98492400</v>
      </c>
      <c r="C11" s="9">
        <v>106579637.5</v>
      </c>
      <c r="D11" s="9">
        <v>134558987.5</v>
      </c>
      <c r="E11" s="3">
        <f t="shared" si="0"/>
        <v>113210341.66666667</v>
      </c>
      <c r="F11" s="4">
        <f t="shared" si="1"/>
        <v>18925495.020822465</v>
      </c>
    </row>
    <row r="12" spans="1:7">
      <c r="A12" s="7">
        <v>34</v>
      </c>
      <c r="B12" s="9">
        <v>120272025</v>
      </c>
      <c r="C12" s="9">
        <v>122768687.5</v>
      </c>
      <c r="D12" s="9">
        <v>131078337.5</v>
      </c>
      <c r="E12" s="3">
        <f t="shared" si="0"/>
        <v>124706350</v>
      </c>
      <c r="F12" s="4">
        <f t="shared" si="1"/>
        <v>5657738.0139808301</v>
      </c>
    </row>
    <row r="13" spans="1:7">
      <c r="A13" s="7">
        <v>36</v>
      </c>
      <c r="B13" s="9">
        <v>108234062.5</v>
      </c>
      <c r="C13" s="9">
        <v>104565981.25</v>
      </c>
      <c r="D13" s="9">
        <v>98510131.25</v>
      </c>
      <c r="E13" s="3">
        <f t="shared" si="0"/>
        <v>103770058.33333333</v>
      </c>
      <c r="F13" s="4">
        <f t="shared" si="1"/>
        <v>4910583.4384152377</v>
      </c>
    </row>
    <row r="14" spans="1:7">
      <c r="A14" s="7">
        <v>39</v>
      </c>
      <c r="B14" s="9">
        <v>90975875</v>
      </c>
      <c r="C14" s="9">
        <v>94621406.25</v>
      </c>
      <c r="D14" s="9">
        <v>95107143.75</v>
      </c>
      <c r="E14" s="3">
        <f t="shared" si="0"/>
        <v>93568141.666666672</v>
      </c>
      <c r="F14" s="4">
        <f t="shared" si="1"/>
        <v>2258067.7764539965</v>
      </c>
    </row>
    <row r="15" spans="1:7">
      <c r="A15" s="7">
        <v>42</v>
      </c>
      <c r="B15" s="9">
        <v>140750000</v>
      </c>
      <c r="C15" s="9">
        <v>98250000</v>
      </c>
      <c r="D15" s="9">
        <v>106250000</v>
      </c>
      <c r="E15" s="3">
        <f t="shared" si="0"/>
        <v>115083333.33333333</v>
      </c>
      <c r="F15" s="4">
        <f t="shared" si="1"/>
        <v>22585024.536921185</v>
      </c>
    </row>
    <row r="16" spans="1:7">
      <c r="A16" s="8">
        <v>45</v>
      </c>
      <c r="B16" s="14">
        <v>80500000</v>
      </c>
      <c r="C16" s="14">
        <v>86250000</v>
      </c>
      <c r="D16" s="14">
        <v>77000000</v>
      </c>
      <c r="E16" s="6">
        <f t="shared" si="0"/>
        <v>81250000</v>
      </c>
      <c r="F16" s="6">
        <f t="shared" si="1"/>
        <v>4670385.4230673509</v>
      </c>
      <c r="G16" t="s">
        <v>4</v>
      </c>
    </row>
    <row r="17" spans="1:6">
      <c r="A17" s="7">
        <v>47</v>
      </c>
      <c r="B17" s="9">
        <v>66250000</v>
      </c>
      <c r="C17" s="9">
        <v>50750000</v>
      </c>
      <c r="D17" s="9">
        <v>60750000</v>
      </c>
      <c r="E17" s="3">
        <f t="shared" si="0"/>
        <v>59250000</v>
      </c>
      <c r="F17" s="4">
        <f t="shared" si="1"/>
        <v>7858116.8227508552</v>
      </c>
    </row>
    <row r="18" spans="1:6">
      <c r="A18" s="7">
        <v>49</v>
      </c>
      <c r="B18" s="9">
        <v>42000000</v>
      </c>
      <c r="C18" s="9">
        <v>41750000</v>
      </c>
      <c r="D18" s="9">
        <v>52000000</v>
      </c>
      <c r="E18" s="3">
        <f t="shared" si="0"/>
        <v>45250000</v>
      </c>
      <c r="F18" s="4">
        <f t="shared" si="1"/>
        <v>5847007.78176325</v>
      </c>
    </row>
    <row r="19" spans="1:6">
      <c r="A19" s="7">
        <v>51</v>
      </c>
      <c r="B19" s="9">
        <v>28500000</v>
      </c>
      <c r="C19" s="9">
        <v>43250000</v>
      </c>
      <c r="D19" s="9">
        <v>46250000</v>
      </c>
      <c r="E19" s="3">
        <f t="shared" si="0"/>
        <v>39333333.333333336</v>
      </c>
      <c r="F19" s="4">
        <f t="shared" si="1"/>
        <v>9501096.4279568028</v>
      </c>
    </row>
    <row r="20" spans="1:6">
      <c r="A20" s="7">
        <v>54</v>
      </c>
      <c r="B20" s="9">
        <v>52000000</v>
      </c>
      <c r="C20" s="9">
        <v>49000000</v>
      </c>
      <c r="D20" s="9">
        <v>54500000</v>
      </c>
      <c r="E20" s="3">
        <f t="shared" si="0"/>
        <v>51833333.333333336</v>
      </c>
      <c r="F20" s="4">
        <f t="shared" si="1"/>
        <v>2753785.2736430513</v>
      </c>
    </row>
    <row r="21" spans="1:6">
      <c r="A21" s="7">
        <v>57</v>
      </c>
      <c r="B21" s="9">
        <v>42000000</v>
      </c>
      <c r="C21" s="9">
        <v>41000000</v>
      </c>
      <c r="D21" s="9">
        <v>57750000</v>
      </c>
      <c r="E21" s="3">
        <f t="shared" si="0"/>
        <v>46916666.666666664</v>
      </c>
      <c r="F21" s="4">
        <f t="shared" si="1"/>
        <v>9395255.8950426411</v>
      </c>
    </row>
    <row r="22" spans="1:6">
      <c r="A22" s="7">
        <v>60</v>
      </c>
      <c r="B22" s="9">
        <v>33500000</v>
      </c>
      <c r="C22" s="9">
        <v>35250000</v>
      </c>
      <c r="D22" s="9">
        <v>43750000</v>
      </c>
      <c r="E22" s="3">
        <f t="shared" si="0"/>
        <v>37500000</v>
      </c>
      <c r="F22" s="4">
        <f t="shared" si="1"/>
        <v>5482928.0498653268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Condition 1</vt:lpstr>
      <vt:lpstr>Condition 2</vt:lpstr>
      <vt:lpstr>Condition 3</vt:lpstr>
      <vt:lpstr>Condition 4</vt:lpstr>
      <vt:lpstr>Condition 5</vt:lpstr>
      <vt:lpstr>Condition 6</vt:lpstr>
      <vt:lpstr>Condition 7</vt:lpstr>
      <vt:lpstr>Condition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</dc:creator>
  <cp:lastModifiedBy>WATASHI, Koichi /渡士幸一</cp:lastModifiedBy>
  <dcterms:created xsi:type="dcterms:W3CDTF">2017-03-12T09:30:16Z</dcterms:created>
  <dcterms:modified xsi:type="dcterms:W3CDTF">2026-06-07T15:44:31Z</dcterms:modified>
</cp:coreProperties>
</file>